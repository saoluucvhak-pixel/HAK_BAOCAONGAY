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 CAN" sheetId="1" state="visible" r:id="rId3"/>
    <sheet name="DS XE - TAI XE" sheetId="2" state="visible" r:id="rId4"/>
    <sheet name="MA DVVC" sheetId="3" state="visible" r:id="rId5"/>
    <sheet name="HUONG DAN" sheetId="4" state="visible" r:id="rId6"/>
  </sheets>
  <definedNames>
    <definedName function="false" hidden="false" localSheetId="0" name="_xlnm.Print_Titles" vbProcedure="false">'BANG CAN'!$7:$7</definedName>
    <definedName function="false" hidden="true" localSheetId="0" name="_xlnm._FilterDatabase" vbProcedure="false">'BANG CAN'!$A$7:$L$1007</definedName>
    <definedName function="false" hidden="false" localSheetId="1" name="_xlnm.Print_Titles" vbProcedure="false">'DS XE - TAI XE'!$5:$5</definedName>
    <definedName function="false" hidden="true" localSheetId="1" name="_xlnm._FilterDatabase" vbProcedure="false">'DS XE - TAI XE'!$A$5:$H$505</definedName>
    <definedName function="false" hidden="false" localSheetId="0" name="_xlnm.Print_Area" vbProcedure="false">'BANG CAN'!$A$1:INDEX('BANG CAN'!$L:$L,MAX(8,7+COUNTA('BANG CAN'!$F$8:$F$1007)))</definedName>
    <definedName function="false" hidden="false" localSheetId="1" name="_xlnm.Print_Area" vbProcedure="false">'DS XE - TAI XE'!$A$1:INDEX('DS XE - TAI XE'!$H:$H,MAX(6,5+COUNTA('DS XE - TAI XE'!$B$6:$B$1005)))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Gõ giờ dạng 07:05 hoặc 07:05:30 (ô định dạng chữ, giữ nguyên như phiếu cân).</t>
        </r>
      </text>
    </comment>
    <comment ref="I7" authorId="0">
      <text>
        <r>
          <rPr>
            <sz val="10"/>
            <rFont val="Arial"/>
            <family val="2"/>
          </rPr>
          <t xml:space="preserve">Tự tính = Cân lần 2 − Cân lần 1. Nếu phần mềm cân xuất sẵn khối lượng hàng thì dán đè số vào cột này.</t>
        </r>
      </text>
    </comment>
    <comment ref="L7" authorId="0">
      <text>
        <r>
          <rPr>
            <sz val="10"/>
            <rFont val="Arial"/>
            <family val="2"/>
          </rPr>
          <t xml:space="preserve">Tự kiểm tra biển số có trong sheet "DS XE - TAI XE" của đợt này không. Cột này chỉ để xem, không cần nhập.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Chọn mã đơn vị vận chuyển (sheet "MA DVVC"). Mã phải trùng bảng đổi mã trong app: Cài đặt → Chung → Mã ĐVVC.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Mã và tên lấy theo bảng đổi mã mặc định của app (Cài đặt → Chung). Sửa cho khớp nếu công ty đã đổi trong app.</t>
        </r>
      </text>
    </comment>
  </commentList>
</comments>
</file>

<file path=xl/sharedStrings.xml><?xml version="1.0" encoding="utf-8"?>
<sst xmlns="http://schemas.openxmlformats.org/spreadsheetml/2006/main" count="69" uniqueCount="64">
  <si>
    <t xml:space="preserve">BẢNG CÂN XUẤT HÀNG</t>
  </si>
  <si>
    <t xml:space="preserve">Mỗi file = 1 đợt xuất hàng. Danh sách xe &amp; tài xế của đợt này nằm ở sheet "DS XE - TAI XE" trong CÙNG file — chỉ áp dụng cho bảng cân này.</t>
  </si>
  <si>
    <t xml:space="preserve">Đơn vị xuất:</t>
  </si>
  <si>
    <t xml:space="preserve">Số phiếu:</t>
  </si>
  <si>
    <t xml:space="preserve">Từ ngày:</t>
  </si>
  <si>
    <t xml:space="preserve">Tàu / chuyến:</t>
  </si>
  <si>
    <t xml:space="preserve">Tổng khối lượng (kg):</t>
  </si>
  <si>
    <t xml:space="preserve">Đến ngày:</t>
  </si>
  <si>
    <t xml:space="preserve">Kho xuất (bàn cân):</t>
  </si>
  <si>
    <t xml:space="preserve">Tổng khối lượng (tấn):</t>
  </si>
  <si>
    <t xml:space="preserve">Chưa có trong DS xe:</t>
  </si>
  <si>
    <t xml:space="preserve">STT</t>
  </si>
  <si>
    <t xml:space="preserve">Số phiếu</t>
  </si>
  <si>
    <t xml:space="preserve">Ngày cân</t>
  </si>
  <si>
    <t xml:space="preserve">Giờ cân vào</t>
  </si>
  <si>
    <t xml:space="preserve">Giờ cân ra</t>
  </si>
  <si>
    <t xml:space="preserve">Biển số xe</t>
  </si>
  <si>
    <t xml:space="preserve">Cân lần 1 (xe không) (kg)</t>
  </si>
  <si>
    <t xml:space="preserve">Cân lần 2 (có hàng) (kg)</t>
  </si>
  <si>
    <t xml:space="preserve">Khối lượng hàng (kg)</t>
  </si>
  <si>
    <t xml:space="preserve">Kho xuất</t>
  </si>
  <si>
    <t xml:space="preserve">Ghi chú</t>
  </si>
  <si>
    <t xml:space="preserve">Kiểm tra DS xe</t>
  </si>
  <si>
    <t xml:space="preserve">DANH SÁCH XE VÀ TÀI XẾ VẬN CHUYỂN</t>
  </si>
  <si>
    <t xml:space="preserve">Chỉ có hiệu lực cho bảng cân (sheet "BANG CAN") trong cùng file này — không áp dụng cho lô, tàu, đợt khác. Mỗi đợt xuất hàng lập 1 danh sách riêng.</t>
  </si>
  <si>
    <t xml:space="preserve">Áp dụng cho tàu / đợt:</t>
  </si>
  <si>
    <t xml:space="preserve">Số lượng xe:</t>
  </si>
  <si>
    <t xml:space="preserve">Họ và tên tài xế</t>
  </si>
  <si>
    <t xml:space="preserve">Số điện thoại</t>
  </si>
  <si>
    <t xml:space="preserve">Mã ĐVVC</t>
  </si>
  <si>
    <t xml:space="preserve">Tên đơn vị vận chuyển</t>
  </si>
  <si>
    <t xml:space="preserve">Số chuyến trong bảng cân</t>
  </si>
  <si>
    <t xml:space="preserve">BẢNG MÃ ĐƠN VỊ VẬN CHUYỂN</t>
  </si>
  <si>
    <t xml:space="preserve">Phải trùng với app: Cài đặt → Chung → Mã ĐVVC. Thêm đơn vị mới: ghi tiếp bên dưới (tối đa 50 dòng).</t>
  </si>
  <si>
    <t xml:space="preserve">HAK</t>
  </si>
  <si>
    <t xml:space="preserve">Công Ty TNHH Hoàng Anh Khôi</t>
  </si>
  <si>
    <t xml:space="preserve">HAK QN</t>
  </si>
  <si>
    <t xml:space="preserve">Công Ty TNHH Hoàng Anh Khôi Quảng Nam</t>
  </si>
  <si>
    <t xml:space="preserve">ĐH</t>
  </si>
  <si>
    <t xml:space="preserve">Công Ty TNHH SX TM DV Đại Hiệp</t>
  </si>
  <si>
    <t xml:space="preserve">HHH</t>
  </si>
  <si>
    <t xml:space="preserve">CÔNG TY TNHH DỊCH VỤ VÀ VẬN TẢI HÙNG HOÀNG HOA</t>
  </si>
  <si>
    <t xml:space="preserve">HƯỚNG DẪN SỬ DỤNG FILE MẪU</t>
  </si>
  <si>
    <t xml:space="preserve">1. Nguyên tắc</t>
  </si>
  <si>
    <t xml:space="preserve">• Mỗi đợt xuất hàng (1 tàu / 1 lô) = 1 file. Lưu file theo tên đợt, ví dụ: BangCan_JR-SOPHIA-V2501_16-20.08.2026.xlsx</t>
  </si>
  <si>
    <t xml:space="preserve">• Danh sách xe &amp; tài xế nằm ở sheet "DS XE - TAI XE" của CHÍNH file đó và chỉ áp dụng cho bảng cân trong file — không dùng cho lô, tàu khác.</t>
  </si>
  <si>
    <t xml:space="preserve">• Ô nền vàng, chữ xanh = ô cần nhập. Ô nền xám / chữ đen = công thức tự tính, không sửa.</t>
  </si>
  <si>
    <t xml:space="preserve">2. Sheet "BANG CAN" — bảng cân xuất hàng</t>
  </si>
  <si>
    <t xml:space="preserve">• Ghi Đơn vị xuất, Tàu / chuyến, Kho xuất ở đầu sheet.</t>
  </si>
  <si>
    <t xml:space="preserve">• Mỗi phiếu cân 1 dòng: Số phiếu, Ngày cân (dd/mm/yyyy), Giờ cân vào / ra (gõ 07:05 hoặc 07:05:30), Biển số xe (chọn từ danh sách xe), Cân lần 1 (xe không), Cân lần 2 (có hàng) — đơn vị kg.</t>
  </si>
  <si>
    <t xml:space="preserve">• Khối lượng hàng tự tính = Cân lần 2 − Cân lần 1. Phần mềm cân đã xuất sẵn khối lượng hàng thì dán đè vào cột này.</t>
  </si>
  <si>
    <t xml:space="preserve">• Cột "Kiểm tra DS xe" báo đỏ "Chưa có trong DS xe" nếu biển số chưa có trong danh sách xe của đợt → bổ sung trước khi đưa vào app.</t>
  </si>
  <si>
    <t xml:space="preserve">• Có thể dán thẳng dữ liệu xuất từ phần mềm cân vào từ dòng 8 (giữ đúng thứ tự cột). Không chèn / xóa dòng tiêu đề (dòng 7).</t>
  </si>
  <si>
    <t xml:space="preserve">3. Sheet "DS XE - TAI XE" — danh sách xe của đợt</t>
  </si>
  <si>
    <t xml:space="preserve">• Mỗi xe 1 dòng (không trùng biển số): Biển số xe, Họ và tên tài xế, Số điện thoại, Mã ĐVVC (chọn trong danh sách).</t>
  </si>
  <si>
    <t xml:space="preserve">• Tên đơn vị vận chuyển tự hiện theo mã (sheet "MA DVVC"). Cột "Số chuyến trong bảng cân" đếm số phiếu của xe trong đợt (0 = xe không chạy đợt này).</t>
  </si>
  <si>
    <t xml:space="preserve">4. Đưa vào app QUẢN LÝ XUẤT HÀNG</t>
  </si>
  <si>
    <t xml:space="preserve">• Nhập liệu → chọn hình thức → thêm file này làm 1 đợt. App đọc sheet "BANG CAN" làm bảng cân.</t>
  </si>
  <si>
    <t xml:space="preserve">• Danh sách xe: app tự đọc sheet "DS XE - TAI XE" của cùng file và chỉ áp cho đúng đợt này — điền Tài xế, Đơn vị vận chuyển vào biên bản, BKLS, PXKKVCNB.</t>
  </si>
  <si>
    <t xml:space="preserve">• File cân xuất từ phần mềm cân (không có sheet DS XE): ở dòng đợt bấm 🚚 → gắn file danh sách xe riêng, hoặc chọn "Dùng danh sách của đợt khác" (mặc định đợt gần nhất). Đợt chưa có danh sách → app cảnh báo, Tài xế / ĐVVC để trống.</t>
  </si>
  <si>
    <t xml:space="preserve">• Tải lại file mẫu này trong app: Nhập liệu → khung "Danh sách xe &amp; tài xế" → ⬇ Tải file Excel mẫu.</t>
  </si>
  <si>
    <t xml:space="preserve">5. Ví dụ 1 dòng (chỉ để tham khảo, KHÔNG nhập vào bảng)</t>
  </si>
  <si>
    <t xml:space="preserve">BANG CAN:  Số phiếu: 0001  |  Ngày cân: 16/08/2026  |  Giờ vào: 07:05  |  Giờ ra: 07:32  |  Biển số xe: 92C-12884  |  Cân lần 1 (kg): 13.240  |  Cân lần 2 (kg): 31.090  |  KL hàng (kg): 17.850  |  Kho xuất: Kho HAK Đà Nẵng  |  Ghi chú: JR SOPHIA V.2501</t>
  </si>
  <si>
    <t xml:space="preserve">DS XE - TAI XE:  Biển số xe: 92C-12884  |  Họ và tên tài xế: Nguyễn Văn An  |  Số điện thoại: 0905 123 456  |  Mã ĐVVC: HHH  →  CÔNG TY TNHH DỊCH VỤ VÀ VẬN TẢI HÙNG HOÀNG HOA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</si>
</sst>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/mm/yyyy"/>
    <numFmt numFmtId="167" formatCode="#,##0.00"/>
    <numFmt numFmtId="168" formatCode="General"/>
    <numFmt numFmtId="169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4F6C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2F9E44"/>
      <name val="Arial"/>
      <family val="0"/>
      <charset val="1"/>
    </font>
    <font>
      <sz val="10"/>
      <name val="Arial"/>
      <family val="2"/>
    </font>
    <font>
      <i val="true"/>
      <sz val="9"/>
      <color rgb="FFC92A2A"/>
      <name val="Arial"/>
      <family val="0"/>
      <charset val="1"/>
    </font>
    <font>
      <b val="true"/>
      <sz val="14"/>
      <color rgb="FF0B4F6C"/>
      <name val="Arial"/>
      <family val="0"/>
      <charset val="1"/>
    </font>
    <font>
      <b val="true"/>
      <sz val="11"/>
      <color rgb="FF0B7285"/>
      <name val="Arial"/>
      <family val="0"/>
      <charset val="1"/>
    </font>
    <font>
      <sz val="10"/>
      <name val="Arial"/>
      <family val="0"/>
      <charset val="1"/>
    </font>
    <font>
      <sz val="9"/>
      <color rgb="FF5B6B7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E6"/>
        <bgColor rgb="FFFFFFFF"/>
      </patternFill>
    </fill>
    <fill>
      <patternFill patternType="solid">
        <fgColor rgb="FFF2F4F7"/>
        <bgColor rgb="FFFDECEC"/>
      </patternFill>
    </fill>
    <fill>
      <patternFill patternType="solid">
        <fgColor rgb="FF0B7285"/>
        <bgColor rgb="FF008080"/>
      </patternFill>
    </fill>
    <fill>
      <patternFill patternType="solid">
        <fgColor rgb="FF0B4F6C"/>
        <bgColor rgb="FF0B728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728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F9E44"/>
          <bgColor rgb="FF000000"/>
        </patternFill>
      </fill>
    </dxf>
    <dxf>
      <font>
        <name val="Arial"/>
        <charset val="1"/>
        <family val="0"/>
        <b val="1"/>
        <color rgb="FFC92A2A"/>
      </font>
      <fill>
        <patternFill>
          <bgColor rgb="FFFDECEC"/>
        </patternFill>
      </fill>
    </dxf>
    <dxf>
      <fill>
        <patternFill patternType="solid">
          <fgColor rgb="FF0B4F6C"/>
          <bgColor rgb="FF000000"/>
        </patternFill>
      </fill>
    </dxf>
    <dxf>
      <font>
        <name val="Arial"/>
        <charset val="1"/>
        <family val="0"/>
        <color rgb="FFC92A2A"/>
      </font>
      <fill>
        <patternFill>
          <bgColor rgb="FFFDECEC"/>
        </patternFill>
      </fill>
    </dxf>
    <dxf>
      <font>
        <name val="Arial"/>
        <charset val="1"/>
        <family val="0"/>
        <color rgb="FFB089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8900"/>
      <rgbColor rgb="FF800080"/>
      <rgbColor rgb="FF0B7285"/>
      <rgbColor rgb="FFB8C4CE"/>
      <rgbColor rgb="FF808080"/>
      <rgbColor rgb="FF9999FF"/>
      <rgbColor rgb="FF993366"/>
      <rgbColor rgb="FFFFFBE6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F00"/>
      <rgbColor rgb="FFFF6600"/>
      <rgbColor rgb="FF5B6B7C"/>
      <rgbColor rgb="FF868E96"/>
      <rgbColor rgb="FF0B4F6C"/>
      <rgbColor rgb="FF2F9E44"/>
      <rgbColor rgb="FF003300"/>
      <rgbColor rgb="FF333300"/>
      <rgbColor rgb="FFC92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285"/>
    <pageSetUpPr fitToPage="true"/>
  </sheetPr>
  <dimension ref="A1:L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C3" s="4"/>
      <c r="D3" s="4"/>
      <c r="E3" s="4"/>
      <c r="F3" s="4"/>
      <c r="H3" s="5" t="s">
        <v>3</v>
      </c>
      <c r="I3" s="5"/>
      <c r="J3" s="6" t="n">
        <f aca="false">COUNT(I8:I1007)</f>
        <v>0</v>
      </c>
      <c r="K3" s="7" t="s">
        <v>4</v>
      </c>
      <c r="L3" s="8" t="str">
        <f aca="false">IF(COUNT(C8:C1007)=0,"",MIN(C8:C1007))</f>
        <v/>
      </c>
    </row>
    <row r="4" customFormat="false" ht="15" hidden="false" customHeight="false" outlineLevel="0" collapsed="false">
      <c r="A4" s="3" t="s">
        <v>5</v>
      </c>
      <c r="C4" s="4"/>
      <c r="D4" s="4"/>
      <c r="E4" s="4"/>
      <c r="F4" s="4"/>
      <c r="H4" s="5" t="s">
        <v>6</v>
      </c>
      <c r="I4" s="5"/>
      <c r="J4" s="6" t="n">
        <f aca="false">SUM(I8:I1007)</f>
        <v>0</v>
      </c>
      <c r="K4" s="7" t="s">
        <v>7</v>
      </c>
      <c r="L4" s="8" t="str">
        <f aca="false">IF(COUNT(C8:C1007)=0,"",MAX(C8:C1007))</f>
        <v/>
      </c>
    </row>
    <row r="5" customFormat="false" ht="15" hidden="false" customHeight="false" outlineLevel="0" collapsed="false">
      <c r="A5" s="3" t="s">
        <v>8</v>
      </c>
      <c r="C5" s="4"/>
      <c r="D5" s="4"/>
      <c r="E5" s="4"/>
      <c r="F5" s="4"/>
      <c r="H5" s="5" t="s">
        <v>9</v>
      </c>
      <c r="I5" s="5"/>
      <c r="J5" s="9" t="n">
        <f aca="false">ROUND(SUM(I8:I1007)/1000,2)</f>
        <v>0</v>
      </c>
      <c r="K5" s="7" t="s">
        <v>10</v>
      </c>
      <c r="L5" s="10" t="n">
        <f aca="false">COUNTIF(L8:L1007,"Chưa có*")</f>
        <v>0</v>
      </c>
    </row>
    <row r="7" customFormat="false" ht="36" hidden="false" customHeight="true" outlineLevel="0" collapsed="false">
      <c r="A7" s="11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16</v>
      </c>
      <c r="G7" s="11" t="s">
        <v>17</v>
      </c>
      <c r="H7" s="11" t="s">
        <v>18</v>
      </c>
      <c r="I7" s="11" t="s">
        <v>19</v>
      </c>
      <c r="J7" s="11" t="s">
        <v>20</v>
      </c>
      <c r="K7" s="11" t="s">
        <v>21</v>
      </c>
      <c r="L7" s="11" t="s">
        <v>22</v>
      </c>
    </row>
    <row r="8" customFormat="false" ht="15" hidden="false" customHeight="false" outlineLevel="0" collapsed="false">
      <c r="A8" s="12" t="str">
        <f aca="false">IF(F8="","",COUNTA($F$8:F8))</f>
        <v/>
      </c>
      <c r="B8" s="4"/>
      <c r="C8" s="13"/>
      <c r="D8" s="14"/>
      <c r="E8" s="14"/>
      <c r="F8" s="15"/>
      <c r="G8" s="16"/>
      <c r="H8" s="16"/>
      <c r="I8" s="17" t="str">
        <f aca="false">IF(OR(G8="",H8=""),"",H8-G8)</f>
        <v/>
      </c>
      <c r="J8" s="4"/>
      <c r="K8" s="4"/>
      <c r="L8" s="18" t="str">
        <f aca="false">IF(F8="","",IF(COUNTIF('DS XE - TAI XE'!$B$6:$B$505,F8)&gt;0,"✓ Có","Chưa có trong DS xe"))</f>
        <v/>
      </c>
    </row>
    <row r="9" customFormat="false" ht="15" hidden="false" customHeight="false" outlineLevel="0" collapsed="false">
      <c r="A9" s="12" t="str">
        <f aca="false">IF(F9="","",COUNTA($F$8:F9))</f>
        <v/>
      </c>
      <c r="B9" s="4"/>
      <c r="C9" s="13"/>
      <c r="D9" s="14"/>
      <c r="E9" s="14"/>
      <c r="F9" s="15"/>
      <c r="G9" s="16"/>
      <c r="H9" s="16"/>
      <c r="I9" s="17" t="str">
        <f aca="false">IF(OR(G9="",H9=""),"",H9-G9)</f>
        <v/>
      </c>
      <c r="J9" s="4"/>
      <c r="K9" s="4"/>
      <c r="L9" s="18" t="str">
        <f aca="false">IF(F9="","",IF(COUNTIF('DS XE - TAI XE'!$B$6:$B$505,F9)&gt;0,"✓ Có","Chưa có trong DS xe"))</f>
        <v/>
      </c>
    </row>
    <row r="10" customFormat="false" ht="15" hidden="false" customHeight="false" outlineLevel="0" collapsed="false">
      <c r="A10" s="12" t="str">
        <f aca="false">IF(F10="","",COUNTA($F$8:F10))</f>
        <v/>
      </c>
      <c r="B10" s="4"/>
      <c r="C10" s="13"/>
      <c r="D10" s="14"/>
      <c r="E10" s="14"/>
      <c r="F10" s="15"/>
      <c r="G10" s="16"/>
      <c r="H10" s="16"/>
      <c r="I10" s="17" t="str">
        <f aca="false">IF(OR(G10="",H10=""),"",H10-G10)</f>
        <v/>
      </c>
      <c r="J10" s="4"/>
      <c r="K10" s="4"/>
      <c r="L10" s="18" t="str">
        <f aca="false">IF(F10="","",IF(COUNTIF('DS XE - TAI XE'!$B$6:$B$505,F10)&gt;0,"✓ Có","Chưa có trong DS xe"))</f>
        <v/>
      </c>
    </row>
    <row r="11" customFormat="false" ht="15" hidden="false" customHeight="false" outlineLevel="0" collapsed="false">
      <c r="A11" s="12" t="str">
        <f aca="false">IF(F11="","",COUNTA($F$8:F11))</f>
        <v/>
      </c>
      <c r="B11" s="4"/>
      <c r="C11" s="13"/>
      <c r="D11" s="14"/>
      <c r="E11" s="14"/>
      <c r="F11" s="15"/>
      <c r="G11" s="16"/>
      <c r="H11" s="16"/>
      <c r="I11" s="17" t="str">
        <f aca="false">IF(OR(G11="",H11=""),"",H11-G11)</f>
        <v/>
      </c>
      <c r="J11" s="4"/>
      <c r="K11" s="4"/>
      <c r="L11" s="18" t="str">
        <f aca="false">IF(F11="","",IF(COUNTIF('DS XE - TAI XE'!$B$6:$B$505,F11)&gt;0,"✓ Có","Chưa có trong DS xe"))</f>
        <v/>
      </c>
    </row>
    <row r="12" customFormat="false" ht="15" hidden="false" customHeight="false" outlineLevel="0" collapsed="false">
      <c r="A12" s="12" t="str">
        <f aca="false">IF(F12="","",COUNTA($F$8:F12))</f>
        <v/>
      </c>
      <c r="B12" s="4"/>
      <c r="C12" s="13"/>
      <c r="D12" s="14"/>
      <c r="E12" s="14"/>
      <c r="F12" s="15"/>
      <c r="G12" s="16"/>
      <c r="H12" s="16"/>
      <c r="I12" s="17" t="str">
        <f aca="false">IF(OR(G12="",H12=""),"",H12-G12)</f>
        <v/>
      </c>
      <c r="J12" s="4"/>
      <c r="K12" s="4"/>
      <c r="L12" s="18" t="str">
        <f aca="false">IF(F12="","",IF(COUNTIF('DS XE - TAI XE'!$B$6:$B$505,F12)&gt;0,"✓ Có","Chưa có trong DS xe"))</f>
        <v/>
      </c>
    </row>
    <row r="13" customFormat="false" ht="15" hidden="false" customHeight="false" outlineLevel="0" collapsed="false">
      <c r="A13" s="12" t="str">
        <f aca="false">IF(F13="","",COUNTA($F$8:F13))</f>
        <v/>
      </c>
      <c r="B13" s="4"/>
      <c r="C13" s="13"/>
      <c r="D13" s="14"/>
      <c r="E13" s="14"/>
      <c r="F13" s="15"/>
      <c r="G13" s="16"/>
      <c r="H13" s="16"/>
      <c r="I13" s="17" t="str">
        <f aca="false">IF(OR(G13="",H13=""),"",H13-G13)</f>
        <v/>
      </c>
      <c r="J13" s="4"/>
      <c r="K13" s="4"/>
      <c r="L13" s="18" t="str">
        <f aca="false">IF(F13="","",IF(COUNTIF('DS XE - TAI XE'!$B$6:$B$505,F13)&gt;0,"✓ Có","Chưa có trong DS xe"))</f>
        <v/>
      </c>
    </row>
    <row r="14" customFormat="false" ht="15" hidden="false" customHeight="false" outlineLevel="0" collapsed="false">
      <c r="A14" s="12" t="str">
        <f aca="false">IF(F14="","",COUNTA($F$8:F14))</f>
        <v/>
      </c>
      <c r="B14" s="4"/>
      <c r="C14" s="13"/>
      <c r="D14" s="14"/>
      <c r="E14" s="14"/>
      <c r="F14" s="15"/>
      <c r="G14" s="16"/>
      <c r="H14" s="16"/>
      <c r="I14" s="17" t="str">
        <f aca="false">IF(OR(G14="",H14=""),"",H14-G14)</f>
        <v/>
      </c>
      <c r="J14" s="4"/>
      <c r="K14" s="4"/>
      <c r="L14" s="18" t="str">
        <f aca="false">IF(F14="","",IF(COUNTIF('DS XE - TAI XE'!$B$6:$B$505,F14)&gt;0,"✓ Có","Chưa có trong DS xe"))</f>
        <v/>
      </c>
    </row>
    <row r="15" customFormat="false" ht="15" hidden="false" customHeight="false" outlineLevel="0" collapsed="false">
      <c r="A15" s="12" t="str">
        <f aca="false">IF(F15="","",COUNTA($F$8:F15))</f>
        <v/>
      </c>
      <c r="B15" s="4"/>
      <c r="C15" s="13"/>
      <c r="D15" s="14"/>
      <c r="E15" s="14"/>
      <c r="F15" s="15"/>
      <c r="G15" s="16"/>
      <c r="H15" s="16"/>
      <c r="I15" s="17" t="str">
        <f aca="false">IF(OR(G15="",H15=""),"",H15-G15)</f>
        <v/>
      </c>
      <c r="J15" s="4"/>
      <c r="K15" s="4"/>
      <c r="L15" s="18" t="str">
        <f aca="false">IF(F15="","",IF(COUNTIF('DS XE - TAI XE'!$B$6:$B$505,F15)&gt;0,"✓ Có","Chưa có trong DS xe"))</f>
        <v/>
      </c>
    </row>
    <row r="16" customFormat="false" ht="15" hidden="false" customHeight="false" outlineLevel="0" collapsed="false">
      <c r="A16" s="12" t="str">
        <f aca="false">IF(F16="","",COUNTA($F$8:F16))</f>
        <v/>
      </c>
      <c r="B16" s="4"/>
      <c r="C16" s="13"/>
      <c r="D16" s="14"/>
      <c r="E16" s="14"/>
      <c r="F16" s="15"/>
      <c r="G16" s="16"/>
      <c r="H16" s="16"/>
      <c r="I16" s="17" t="str">
        <f aca="false">IF(OR(G16="",H16=""),"",H16-G16)</f>
        <v/>
      </c>
      <c r="J16" s="4"/>
      <c r="K16" s="4"/>
      <c r="L16" s="18" t="str">
        <f aca="false">IF(F16="","",IF(COUNTIF('DS XE - TAI XE'!$B$6:$B$505,F16)&gt;0,"✓ Có","Chưa có trong DS xe"))</f>
        <v/>
      </c>
    </row>
    <row r="17" customFormat="false" ht="15" hidden="false" customHeight="false" outlineLevel="0" collapsed="false">
      <c r="A17" s="12" t="str">
        <f aca="false">IF(F17="","",COUNTA($F$8:F17))</f>
        <v/>
      </c>
      <c r="B17" s="4"/>
      <c r="C17" s="13"/>
      <c r="D17" s="14"/>
      <c r="E17" s="14"/>
      <c r="F17" s="15"/>
      <c r="G17" s="16"/>
      <c r="H17" s="16"/>
      <c r="I17" s="17" t="str">
        <f aca="false">IF(OR(G17="",H17=""),"",H17-G17)</f>
        <v/>
      </c>
      <c r="J17" s="4"/>
      <c r="K17" s="4"/>
      <c r="L17" s="18" t="str">
        <f aca="false">IF(F17="","",IF(COUNTIF('DS XE - TAI XE'!$B$6:$B$505,F17)&gt;0,"✓ Có","Chưa có trong DS xe"))</f>
        <v/>
      </c>
    </row>
    <row r="18" customFormat="false" ht="15" hidden="false" customHeight="false" outlineLevel="0" collapsed="false">
      <c r="A18" s="12" t="str">
        <f aca="false">IF(F18="","",COUNTA($F$8:F18))</f>
        <v/>
      </c>
      <c r="B18" s="4"/>
      <c r="C18" s="13"/>
      <c r="D18" s="14"/>
      <c r="E18" s="14"/>
      <c r="F18" s="15"/>
      <c r="G18" s="16"/>
      <c r="H18" s="16"/>
      <c r="I18" s="17" t="str">
        <f aca="false">IF(OR(G18="",H18=""),"",H18-G18)</f>
        <v/>
      </c>
      <c r="J18" s="4"/>
      <c r="K18" s="4"/>
      <c r="L18" s="18" t="str">
        <f aca="false">IF(F18="","",IF(COUNTIF('DS XE - TAI XE'!$B$6:$B$505,F18)&gt;0,"✓ Có","Chưa có trong DS xe"))</f>
        <v/>
      </c>
    </row>
    <row r="19" customFormat="false" ht="15" hidden="false" customHeight="false" outlineLevel="0" collapsed="false">
      <c r="A19" s="12" t="str">
        <f aca="false">IF(F19="","",COUNTA($F$8:F19))</f>
        <v/>
      </c>
      <c r="B19" s="4"/>
      <c r="C19" s="13"/>
      <c r="D19" s="14"/>
      <c r="E19" s="14"/>
      <c r="F19" s="15"/>
      <c r="G19" s="16"/>
      <c r="H19" s="16"/>
      <c r="I19" s="17" t="str">
        <f aca="false">IF(OR(G19="",H19=""),"",H19-G19)</f>
        <v/>
      </c>
      <c r="J19" s="4"/>
      <c r="K19" s="4"/>
      <c r="L19" s="18" t="str">
        <f aca="false">IF(F19="","",IF(COUNTIF('DS XE - TAI XE'!$B$6:$B$505,F19)&gt;0,"✓ Có","Chưa có trong DS xe"))</f>
        <v/>
      </c>
    </row>
    <row r="20" customFormat="false" ht="15" hidden="false" customHeight="false" outlineLevel="0" collapsed="false">
      <c r="A20" s="12" t="str">
        <f aca="false">IF(F20="","",COUNTA($F$8:F20))</f>
        <v/>
      </c>
      <c r="B20" s="4"/>
      <c r="C20" s="13"/>
      <c r="D20" s="14"/>
      <c r="E20" s="14"/>
      <c r="F20" s="15"/>
      <c r="G20" s="16"/>
      <c r="H20" s="16"/>
      <c r="I20" s="17" t="str">
        <f aca="false">IF(OR(G20="",H20=""),"",H20-G20)</f>
        <v/>
      </c>
      <c r="J20" s="4"/>
      <c r="K20" s="4"/>
      <c r="L20" s="18" t="str">
        <f aca="false">IF(F20="","",IF(COUNTIF('DS XE - TAI XE'!$B$6:$B$505,F20)&gt;0,"✓ Có","Chưa có trong DS xe"))</f>
        <v/>
      </c>
    </row>
    <row r="21" customFormat="false" ht="15" hidden="false" customHeight="false" outlineLevel="0" collapsed="false">
      <c r="A21" s="12" t="str">
        <f aca="false">IF(F21="","",COUNTA($F$8:F21))</f>
        <v/>
      </c>
      <c r="B21" s="4"/>
      <c r="C21" s="13"/>
      <c r="D21" s="14"/>
      <c r="E21" s="14"/>
      <c r="F21" s="15"/>
      <c r="G21" s="16"/>
      <c r="H21" s="16"/>
      <c r="I21" s="17" t="str">
        <f aca="false">IF(OR(G21="",H21=""),"",H21-G21)</f>
        <v/>
      </c>
      <c r="J21" s="4"/>
      <c r="K21" s="4"/>
      <c r="L21" s="18" t="str">
        <f aca="false">IF(F21="","",IF(COUNTIF('DS XE - TAI XE'!$B$6:$B$505,F21)&gt;0,"✓ Có","Chưa có trong DS xe"))</f>
        <v/>
      </c>
    </row>
    <row r="22" customFormat="false" ht="15" hidden="false" customHeight="false" outlineLevel="0" collapsed="false">
      <c r="A22" s="12" t="str">
        <f aca="false">IF(F22="","",COUNTA($F$8:F22))</f>
        <v/>
      </c>
      <c r="B22" s="4"/>
      <c r="C22" s="13"/>
      <c r="D22" s="14"/>
      <c r="E22" s="14"/>
      <c r="F22" s="15"/>
      <c r="G22" s="16"/>
      <c r="H22" s="16"/>
      <c r="I22" s="17" t="str">
        <f aca="false">IF(OR(G22="",H22=""),"",H22-G22)</f>
        <v/>
      </c>
      <c r="J22" s="4"/>
      <c r="K22" s="4"/>
      <c r="L22" s="18" t="str">
        <f aca="false">IF(F22="","",IF(COUNTIF('DS XE - TAI XE'!$B$6:$B$505,F22)&gt;0,"✓ Có","Chưa có trong DS xe"))</f>
        <v/>
      </c>
    </row>
    <row r="23" customFormat="false" ht="15" hidden="false" customHeight="false" outlineLevel="0" collapsed="false">
      <c r="A23" s="12" t="str">
        <f aca="false">IF(F23="","",COUNTA($F$8:F23))</f>
        <v/>
      </c>
      <c r="B23" s="4"/>
      <c r="C23" s="13"/>
      <c r="D23" s="14"/>
      <c r="E23" s="14"/>
      <c r="F23" s="15"/>
      <c r="G23" s="16"/>
      <c r="H23" s="16"/>
      <c r="I23" s="17" t="str">
        <f aca="false">IF(OR(G23="",H23=""),"",H23-G23)</f>
        <v/>
      </c>
      <c r="J23" s="4"/>
      <c r="K23" s="4"/>
      <c r="L23" s="18" t="str">
        <f aca="false">IF(F23="","",IF(COUNTIF('DS XE - TAI XE'!$B$6:$B$505,F23)&gt;0,"✓ Có","Chưa có trong DS xe"))</f>
        <v/>
      </c>
    </row>
    <row r="24" customFormat="false" ht="15" hidden="false" customHeight="false" outlineLevel="0" collapsed="false">
      <c r="A24" s="12" t="str">
        <f aca="false">IF(F24="","",COUNTA($F$8:F24))</f>
        <v/>
      </c>
      <c r="B24" s="4"/>
      <c r="C24" s="13"/>
      <c r="D24" s="14"/>
      <c r="E24" s="14"/>
      <c r="F24" s="15"/>
      <c r="G24" s="16"/>
      <c r="H24" s="16"/>
      <c r="I24" s="17" t="str">
        <f aca="false">IF(OR(G24="",H24=""),"",H24-G24)</f>
        <v/>
      </c>
      <c r="J24" s="4"/>
      <c r="K24" s="4"/>
      <c r="L24" s="18" t="str">
        <f aca="false">IF(F24="","",IF(COUNTIF('DS XE - TAI XE'!$B$6:$B$505,F24)&gt;0,"✓ Có","Chưa có trong DS xe"))</f>
        <v/>
      </c>
    </row>
    <row r="25" customFormat="false" ht="15" hidden="false" customHeight="false" outlineLevel="0" collapsed="false">
      <c r="A25" s="12" t="str">
        <f aca="false">IF(F25="","",COUNTA($F$8:F25))</f>
        <v/>
      </c>
      <c r="B25" s="4"/>
      <c r="C25" s="13"/>
      <c r="D25" s="14"/>
      <c r="E25" s="14"/>
      <c r="F25" s="15"/>
      <c r="G25" s="16"/>
      <c r="H25" s="16"/>
      <c r="I25" s="17" t="str">
        <f aca="false">IF(OR(G25="",H25=""),"",H25-G25)</f>
        <v/>
      </c>
      <c r="J25" s="4"/>
      <c r="K25" s="4"/>
      <c r="L25" s="18" t="str">
        <f aca="false">IF(F25="","",IF(COUNTIF('DS XE - TAI XE'!$B$6:$B$505,F25)&gt;0,"✓ Có","Chưa có trong DS xe"))</f>
        <v/>
      </c>
    </row>
    <row r="26" customFormat="false" ht="15" hidden="false" customHeight="false" outlineLevel="0" collapsed="false">
      <c r="A26" s="12" t="str">
        <f aca="false">IF(F26="","",COUNTA($F$8:F26))</f>
        <v/>
      </c>
      <c r="B26" s="4"/>
      <c r="C26" s="13"/>
      <c r="D26" s="14"/>
      <c r="E26" s="14"/>
      <c r="F26" s="15"/>
      <c r="G26" s="16"/>
      <c r="H26" s="16"/>
      <c r="I26" s="17" t="str">
        <f aca="false">IF(OR(G26="",H26=""),"",H26-G26)</f>
        <v/>
      </c>
      <c r="J26" s="4"/>
      <c r="K26" s="4"/>
      <c r="L26" s="18" t="str">
        <f aca="false">IF(F26="","",IF(COUNTIF('DS XE - TAI XE'!$B$6:$B$505,F26)&gt;0,"✓ Có","Chưa có trong DS xe"))</f>
        <v/>
      </c>
    </row>
    <row r="27" customFormat="false" ht="15" hidden="false" customHeight="false" outlineLevel="0" collapsed="false">
      <c r="A27" s="12" t="str">
        <f aca="false">IF(F27="","",COUNTA($F$8:F27))</f>
        <v/>
      </c>
      <c r="B27" s="4"/>
      <c r="C27" s="13"/>
      <c r="D27" s="14"/>
      <c r="E27" s="14"/>
      <c r="F27" s="15"/>
      <c r="G27" s="16"/>
      <c r="H27" s="16"/>
      <c r="I27" s="17" t="str">
        <f aca="false">IF(OR(G27="",H27=""),"",H27-G27)</f>
        <v/>
      </c>
      <c r="J27" s="4"/>
      <c r="K27" s="4"/>
      <c r="L27" s="18" t="str">
        <f aca="false">IF(F27="","",IF(COUNTIF('DS XE - TAI XE'!$B$6:$B$505,F27)&gt;0,"✓ Có","Chưa có trong DS xe"))</f>
        <v/>
      </c>
    </row>
    <row r="28" customFormat="false" ht="15" hidden="false" customHeight="false" outlineLevel="0" collapsed="false">
      <c r="A28" s="12" t="str">
        <f aca="false">IF(F28="","",COUNTA($F$8:F28))</f>
        <v/>
      </c>
      <c r="B28" s="4"/>
      <c r="C28" s="13"/>
      <c r="D28" s="14"/>
      <c r="E28" s="14"/>
      <c r="F28" s="15"/>
      <c r="G28" s="16"/>
      <c r="H28" s="16"/>
      <c r="I28" s="17" t="str">
        <f aca="false">IF(OR(G28="",H28=""),"",H28-G28)</f>
        <v/>
      </c>
      <c r="J28" s="4"/>
      <c r="K28" s="4"/>
      <c r="L28" s="18" t="str">
        <f aca="false">IF(F28="","",IF(COUNTIF('DS XE - TAI XE'!$B$6:$B$505,F28)&gt;0,"✓ Có","Chưa có trong DS xe"))</f>
        <v/>
      </c>
    </row>
    <row r="29" customFormat="false" ht="15" hidden="false" customHeight="false" outlineLevel="0" collapsed="false">
      <c r="A29" s="12" t="str">
        <f aca="false">IF(F29="","",COUNTA($F$8:F29))</f>
        <v/>
      </c>
      <c r="B29" s="4"/>
      <c r="C29" s="13"/>
      <c r="D29" s="14"/>
      <c r="E29" s="14"/>
      <c r="F29" s="15"/>
      <c r="G29" s="16"/>
      <c r="H29" s="16"/>
      <c r="I29" s="17" t="str">
        <f aca="false">IF(OR(G29="",H29=""),"",H29-G29)</f>
        <v/>
      </c>
      <c r="J29" s="4"/>
      <c r="K29" s="4"/>
      <c r="L29" s="18" t="str">
        <f aca="false">IF(F29="","",IF(COUNTIF('DS XE - TAI XE'!$B$6:$B$505,F29)&gt;0,"✓ Có","Chưa có trong DS xe"))</f>
        <v/>
      </c>
    </row>
    <row r="30" customFormat="false" ht="15" hidden="false" customHeight="false" outlineLevel="0" collapsed="false">
      <c r="A30" s="12" t="str">
        <f aca="false">IF(F30="","",COUNTA($F$8:F30))</f>
        <v/>
      </c>
      <c r="B30" s="4"/>
      <c r="C30" s="13"/>
      <c r="D30" s="14"/>
      <c r="E30" s="14"/>
      <c r="F30" s="15"/>
      <c r="G30" s="16"/>
      <c r="H30" s="16"/>
      <c r="I30" s="17" t="str">
        <f aca="false">IF(OR(G30="",H30=""),"",H30-G30)</f>
        <v/>
      </c>
      <c r="J30" s="4"/>
      <c r="K30" s="4"/>
      <c r="L30" s="18" t="str">
        <f aca="false">IF(F30="","",IF(COUNTIF('DS XE - TAI XE'!$B$6:$B$505,F30)&gt;0,"✓ Có","Chưa có trong DS xe"))</f>
        <v/>
      </c>
    </row>
    <row r="31" customFormat="false" ht="15" hidden="false" customHeight="false" outlineLevel="0" collapsed="false">
      <c r="A31" s="12" t="str">
        <f aca="false">IF(F31="","",COUNTA($F$8:F31))</f>
        <v/>
      </c>
      <c r="B31" s="4"/>
      <c r="C31" s="13"/>
      <c r="D31" s="14"/>
      <c r="E31" s="14"/>
      <c r="F31" s="15"/>
      <c r="G31" s="16"/>
      <c r="H31" s="16"/>
      <c r="I31" s="17" t="str">
        <f aca="false">IF(OR(G31="",H31=""),"",H31-G31)</f>
        <v/>
      </c>
      <c r="J31" s="4"/>
      <c r="K31" s="4"/>
      <c r="L31" s="18" t="str">
        <f aca="false">IF(F31="","",IF(COUNTIF('DS XE - TAI XE'!$B$6:$B$505,F31)&gt;0,"✓ Có","Chưa có trong DS xe"))</f>
        <v/>
      </c>
    </row>
    <row r="32" customFormat="false" ht="15" hidden="false" customHeight="false" outlineLevel="0" collapsed="false">
      <c r="A32" s="12" t="str">
        <f aca="false">IF(F32="","",COUNTA($F$8:F32))</f>
        <v/>
      </c>
      <c r="B32" s="4"/>
      <c r="C32" s="13"/>
      <c r="D32" s="14"/>
      <c r="E32" s="14"/>
      <c r="F32" s="15"/>
      <c r="G32" s="16"/>
      <c r="H32" s="16"/>
      <c r="I32" s="17" t="str">
        <f aca="false">IF(OR(G32="",H32=""),"",H32-G32)</f>
        <v/>
      </c>
      <c r="J32" s="4"/>
      <c r="K32" s="4"/>
      <c r="L32" s="18" t="str">
        <f aca="false">IF(F32="","",IF(COUNTIF('DS XE - TAI XE'!$B$6:$B$505,F32)&gt;0,"✓ Có","Chưa có trong DS xe"))</f>
        <v/>
      </c>
    </row>
    <row r="33" customFormat="false" ht="15" hidden="false" customHeight="false" outlineLevel="0" collapsed="false">
      <c r="A33" s="12" t="str">
        <f aca="false">IF(F33="","",COUNTA($F$8:F33))</f>
        <v/>
      </c>
      <c r="B33" s="4"/>
      <c r="C33" s="13"/>
      <c r="D33" s="14"/>
      <c r="E33" s="14"/>
      <c r="F33" s="15"/>
      <c r="G33" s="16"/>
      <c r="H33" s="16"/>
      <c r="I33" s="17" t="str">
        <f aca="false">IF(OR(G33="",H33=""),"",H33-G33)</f>
        <v/>
      </c>
      <c r="J33" s="4"/>
      <c r="K33" s="4"/>
      <c r="L33" s="18" t="str">
        <f aca="false">IF(F33="","",IF(COUNTIF('DS XE - TAI XE'!$B$6:$B$505,F33)&gt;0,"✓ Có","Chưa có trong DS xe"))</f>
        <v/>
      </c>
    </row>
    <row r="34" customFormat="false" ht="15" hidden="false" customHeight="false" outlineLevel="0" collapsed="false">
      <c r="A34" s="12" t="str">
        <f aca="false">IF(F34="","",COUNTA($F$8:F34))</f>
        <v/>
      </c>
      <c r="B34" s="4"/>
      <c r="C34" s="13"/>
      <c r="D34" s="14"/>
      <c r="E34" s="14"/>
      <c r="F34" s="15"/>
      <c r="G34" s="16"/>
      <c r="H34" s="16"/>
      <c r="I34" s="17" t="str">
        <f aca="false">IF(OR(G34="",H34=""),"",H34-G34)</f>
        <v/>
      </c>
      <c r="J34" s="4"/>
      <c r="K34" s="4"/>
      <c r="L34" s="18" t="str">
        <f aca="false">IF(F34="","",IF(COUNTIF('DS XE - TAI XE'!$B$6:$B$505,F34)&gt;0,"✓ Có","Chưa có trong DS xe"))</f>
        <v/>
      </c>
    </row>
    <row r="35" customFormat="false" ht="15" hidden="false" customHeight="false" outlineLevel="0" collapsed="false">
      <c r="A35" s="12" t="str">
        <f aca="false">IF(F35="","",COUNTA($F$8:F35))</f>
        <v/>
      </c>
      <c r="B35" s="4"/>
      <c r="C35" s="13"/>
      <c r="D35" s="14"/>
      <c r="E35" s="14"/>
      <c r="F35" s="15"/>
      <c r="G35" s="16"/>
      <c r="H35" s="16"/>
      <c r="I35" s="17" t="str">
        <f aca="false">IF(OR(G35="",H35=""),"",H35-G35)</f>
        <v/>
      </c>
      <c r="J35" s="4"/>
      <c r="K35" s="4"/>
      <c r="L35" s="18" t="str">
        <f aca="false">IF(F35="","",IF(COUNTIF('DS XE - TAI XE'!$B$6:$B$505,F35)&gt;0,"✓ Có","Chưa có trong DS xe"))</f>
        <v/>
      </c>
    </row>
    <row r="36" customFormat="false" ht="15" hidden="false" customHeight="false" outlineLevel="0" collapsed="false">
      <c r="A36" s="12" t="str">
        <f aca="false">IF(F36="","",COUNTA($F$8:F36))</f>
        <v/>
      </c>
      <c r="B36" s="4"/>
      <c r="C36" s="13"/>
      <c r="D36" s="14"/>
      <c r="E36" s="14"/>
      <c r="F36" s="15"/>
      <c r="G36" s="16"/>
      <c r="H36" s="16"/>
      <c r="I36" s="17" t="str">
        <f aca="false">IF(OR(G36="",H36=""),"",H36-G36)</f>
        <v/>
      </c>
      <c r="J36" s="4"/>
      <c r="K36" s="4"/>
      <c r="L36" s="18" t="str">
        <f aca="false">IF(F36="","",IF(COUNTIF('DS XE - TAI XE'!$B$6:$B$505,F36)&gt;0,"✓ Có","Chưa có trong DS xe"))</f>
        <v/>
      </c>
    </row>
    <row r="37" customFormat="false" ht="15" hidden="false" customHeight="false" outlineLevel="0" collapsed="false">
      <c r="A37" s="12" t="str">
        <f aca="false">IF(F37="","",COUNTA($F$8:F37))</f>
        <v/>
      </c>
      <c r="B37" s="4"/>
      <c r="C37" s="13"/>
      <c r="D37" s="14"/>
      <c r="E37" s="14"/>
      <c r="F37" s="15"/>
      <c r="G37" s="16"/>
      <c r="H37" s="16"/>
      <c r="I37" s="17" t="str">
        <f aca="false">IF(OR(G37="",H37=""),"",H37-G37)</f>
        <v/>
      </c>
      <c r="J37" s="4"/>
      <c r="K37" s="4"/>
      <c r="L37" s="18" t="str">
        <f aca="false">IF(F37="","",IF(COUNTIF('DS XE - TAI XE'!$B$6:$B$505,F37)&gt;0,"✓ Có","Chưa có trong DS xe"))</f>
        <v/>
      </c>
    </row>
    <row r="38" customFormat="false" ht="15" hidden="false" customHeight="false" outlineLevel="0" collapsed="false">
      <c r="A38" s="12" t="str">
        <f aca="false">IF(F38="","",COUNTA($F$8:F38))</f>
        <v/>
      </c>
      <c r="B38" s="4"/>
      <c r="C38" s="13"/>
      <c r="D38" s="14"/>
      <c r="E38" s="14"/>
      <c r="F38" s="15"/>
      <c r="G38" s="16"/>
      <c r="H38" s="16"/>
      <c r="I38" s="17" t="str">
        <f aca="false">IF(OR(G38="",H38=""),"",H38-G38)</f>
        <v/>
      </c>
      <c r="J38" s="4"/>
      <c r="K38" s="4"/>
      <c r="L38" s="18" t="str">
        <f aca="false">IF(F38="","",IF(COUNTIF('DS XE - TAI XE'!$B$6:$B$505,F38)&gt;0,"✓ Có","Chưa có trong DS xe"))</f>
        <v/>
      </c>
    </row>
    <row r="39" customFormat="false" ht="15" hidden="false" customHeight="false" outlineLevel="0" collapsed="false">
      <c r="A39" s="12" t="str">
        <f aca="false">IF(F39="","",COUNTA($F$8:F39))</f>
        <v/>
      </c>
      <c r="B39" s="4"/>
      <c r="C39" s="13"/>
      <c r="D39" s="14"/>
      <c r="E39" s="14"/>
      <c r="F39" s="15"/>
      <c r="G39" s="16"/>
      <c r="H39" s="16"/>
      <c r="I39" s="17" t="str">
        <f aca="false">IF(OR(G39="",H39=""),"",H39-G39)</f>
        <v/>
      </c>
      <c r="J39" s="4"/>
      <c r="K39" s="4"/>
      <c r="L39" s="18" t="str">
        <f aca="false">IF(F39="","",IF(COUNTIF('DS XE - TAI XE'!$B$6:$B$505,F39)&gt;0,"✓ Có","Chưa có trong DS xe"))</f>
        <v/>
      </c>
    </row>
    <row r="40" customFormat="false" ht="15" hidden="false" customHeight="false" outlineLevel="0" collapsed="false">
      <c r="A40" s="12" t="str">
        <f aca="false">IF(F40="","",COUNTA($F$8:F40))</f>
        <v/>
      </c>
      <c r="B40" s="4"/>
      <c r="C40" s="13"/>
      <c r="D40" s="14"/>
      <c r="E40" s="14"/>
      <c r="F40" s="15"/>
      <c r="G40" s="16"/>
      <c r="H40" s="16"/>
      <c r="I40" s="17" t="str">
        <f aca="false">IF(OR(G40="",H40=""),"",H40-G40)</f>
        <v/>
      </c>
      <c r="J40" s="4"/>
      <c r="K40" s="4"/>
      <c r="L40" s="18" t="str">
        <f aca="false">IF(F40="","",IF(COUNTIF('DS XE - TAI XE'!$B$6:$B$505,F40)&gt;0,"✓ Có","Chưa có trong DS xe"))</f>
        <v/>
      </c>
    </row>
    <row r="41" customFormat="false" ht="15" hidden="false" customHeight="false" outlineLevel="0" collapsed="false">
      <c r="A41" s="12" t="str">
        <f aca="false">IF(F41="","",COUNTA($F$8:F41))</f>
        <v/>
      </c>
      <c r="B41" s="4"/>
      <c r="C41" s="13"/>
      <c r="D41" s="14"/>
      <c r="E41" s="14"/>
      <c r="F41" s="15"/>
      <c r="G41" s="16"/>
      <c r="H41" s="16"/>
      <c r="I41" s="17" t="str">
        <f aca="false">IF(OR(G41="",H41=""),"",H41-G41)</f>
        <v/>
      </c>
      <c r="J41" s="4"/>
      <c r="K41" s="4"/>
      <c r="L41" s="18" t="str">
        <f aca="false">IF(F41="","",IF(COUNTIF('DS XE - TAI XE'!$B$6:$B$505,F41)&gt;0,"✓ Có","Chưa có trong DS xe"))</f>
        <v/>
      </c>
    </row>
    <row r="42" customFormat="false" ht="15" hidden="false" customHeight="false" outlineLevel="0" collapsed="false">
      <c r="A42" s="12" t="str">
        <f aca="false">IF(F42="","",COUNTA($F$8:F42))</f>
        <v/>
      </c>
      <c r="B42" s="4"/>
      <c r="C42" s="13"/>
      <c r="D42" s="14"/>
      <c r="E42" s="14"/>
      <c r="F42" s="15"/>
      <c r="G42" s="16"/>
      <c r="H42" s="16"/>
      <c r="I42" s="17" t="str">
        <f aca="false">IF(OR(G42="",H42=""),"",H42-G42)</f>
        <v/>
      </c>
      <c r="J42" s="4"/>
      <c r="K42" s="4"/>
      <c r="L42" s="18" t="str">
        <f aca="false">IF(F42="","",IF(COUNTIF('DS XE - TAI XE'!$B$6:$B$505,F42)&gt;0,"✓ Có","Chưa có trong DS xe"))</f>
        <v/>
      </c>
    </row>
    <row r="43" customFormat="false" ht="15" hidden="false" customHeight="false" outlineLevel="0" collapsed="false">
      <c r="A43" s="12" t="str">
        <f aca="false">IF(F43="","",COUNTA($F$8:F43))</f>
        <v/>
      </c>
      <c r="B43" s="4"/>
      <c r="C43" s="13"/>
      <c r="D43" s="14"/>
      <c r="E43" s="14"/>
      <c r="F43" s="15"/>
      <c r="G43" s="16"/>
      <c r="H43" s="16"/>
      <c r="I43" s="17" t="str">
        <f aca="false">IF(OR(G43="",H43=""),"",H43-G43)</f>
        <v/>
      </c>
      <c r="J43" s="4"/>
      <c r="K43" s="4"/>
      <c r="L43" s="18" t="str">
        <f aca="false">IF(F43="","",IF(COUNTIF('DS XE - TAI XE'!$B$6:$B$505,F43)&gt;0,"✓ Có","Chưa có trong DS xe"))</f>
        <v/>
      </c>
    </row>
    <row r="44" customFormat="false" ht="15" hidden="false" customHeight="false" outlineLevel="0" collapsed="false">
      <c r="A44" s="12" t="str">
        <f aca="false">IF(F44="","",COUNTA($F$8:F44))</f>
        <v/>
      </c>
      <c r="B44" s="4"/>
      <c r="C44" s="13"/>
      <c r="D44" s="14"/>
      <c r="E44" s="14"/>
      <c r="F44" s="15"/>
      <c r="G44" s="16"/>
      <c r="H44" s="16"/>
      <c r="I44" s="17" t="str">
        <f aca="false">IF(OR(G44="",H44=""),"",H44-G44)</f>
        <v/>
      </c>
      <c r="J44" s="4"/>
      <c r="K44" s="4"/>
      <c r="L44" s="18" t="str">
        <f aca="false">IF(F44="","",IF(COUNTIF('DS XE - TAI XE'!$B$6:$B$505,F44)&gt;0,"✓ Có","Chưa có trong DS xe"))</f>
        <v/>
      </c>
    </row>
    <row r="45" customFormat="false" ht="15" hidden="false" customHeight="false" outlineLevel="0" collapsed="false">
      <c r="A45" s="12" t="str">
        <f aca="false">IF(F45="","",COUNTA($F$8:F45))</f>
        <v/>
      </c>
      <c r="B45" s="4"/>
      <c r="C45" s="13"/>
      <c r="D45" s="14"/>
      <c r="E45" s="14"/>
      <c r="F45" s="15"/>
      <c r="G45" s="16"/>
      <c r="H45" s="16"/>
      <c r="I45" s="17" t="str">
        <f aca="false">IF(OR(G45="",H45=""),"",H45-G45)</f>
        <v/>
      </c>
      <c r="J45" s="4"/>
      <c r="K45" s="4"/>
      <c r="L45" s="18" t="str">
        <f aca="false">IF(F45="","",IF(COUNTIF('DS XE - TAI XE'!$B$6:$B$505,F45)&gt;0,"✓ Có","Chưa có trong DS xe"))</f>
        <v/>
      </c>
    </row>
    <row r="46" customFormat="false" ht="15" hidden="false" customHeight="false" outlineLevel="0" collapsed="false">
      <c r="A46" s="12" t="str">
        <f aca="false">IF(F46="","",COUNTA($F$8:F46))</f>
        <v/>
      </c>
      <c r="B46" s="4"/>
      <c r="C46" s="13"/>
      <c r="D46" s="14"/>
      <c r="E46" s="14"/>
      <c r="F46" s="15"/>
      <c r="G46" s="16"/>
      <c r="H46" s="16"/>
      <c r="I46" s="17" t="str">
        <f aca="false">IF(OR(G46="",H46=""),"",H46-G46)</f>
        <v/>
      </c>
      <c r="J46" s="4"/>
      <c r="K46" s="4"/>
      <c r="L46" s="18" t="str">
        <f aca="false">IF(F46="","",IF(COUNTIF('DS XE - TAI XE'!$B$6:$B$505,F46)&gt;0,"✓ Có","Chưa có trong DS xe"))</f>
        <v/>
      </c>
    </row>
    <row r="47" customFormat="false" ht="15" hidden="false" customHeight="false" outlineLevel="0" collapsed="false">
      <c r="A47" s="12" t="str">
        <f aca="false">IF(F47="","",COUNTA($F$8:F47))</f>
        <v/>
      </c>
      <c r="B47" s="4"/>
      <c r="C47" s="13"/>
      <c r="D47" s="14"/>
      <c r="E47" s="14"/>
      <c r="F47" s="15"/>
      <c r="G47" s="16"/>
      <c r="H47" s="16"/>
      <c r="I47" s="17" t="str">
        <f aca="false">IF(OR(G47="",H47=""),"",H47-G47)</f>
        <v/>
      </c>
      <c r="J47" s="4"/>
      <c r="K47" s="4"/>
      <c r="L47" s="18" t="str">
        <f aca="false">IF(F47="","",IF(COUNTIF('DS XE - TAI XE'!$B$6:$B$505,F47)&gt;0,"✓ Có","Chưa có trong DS xe"))</f>
        <v/>
      </c>
    </row>
    <row r="48" customFormat="false" ht="15" hidden="false" customHeight="false" outlineLevel="0" collapsed="false">
      <c r="A48" s="12" t="str">
        <f aca="false">IF(F48="","",COUNTA($F$8:F48))</f>
        <v/>
      </c>
      <c r="B48" s="4"/>
      <c r="C48" s="13"/>
      <c r="D48" s="14"/>
      <c r="E48" s="14"/>
      <c r="F48" s="15"/>
      <c r="G48" s="16"/>
      <c r="H48" s="16"/>
      <c r="I48" s="17" t="str">
        <f aca="false">IF(OR(G48="",H48=""),"",H48-G48)</f>
        <v/>
      </c>
      <c r="J48" s="4"/>
      <c r="K48" s="4"/>
      <c r="L48" s="18" t="str">
        <f aca="false">IF(F48="","",IF(COUNTIF('DS XE - TAI XE'!$B$6:$B$505,F48)&gt;0,"✓ Có","Chưa có trong DS xe"))</f>
        <v/>
      </c>
    </row>
    <row r="49" customFormat="false" ht="15" hidden="false" customHeight="false" outlineLevel="0" collapsed="false">
      <c r="A49" s="12" t="str">
        <f aca="false">IF(F49="","",COUNTA($F$8:F49))</f>
        <v/>
      </c>
      <c r="B49" s="4"/>
      <c r="C49" s="13"/>
      <c r="D49" s="14"/>
      <c r="E49" s="14"/>
      <c r="F49" s="15"/>
      <c r="G49" s="16"/>
      <c r="H49" s="16"/>
      <c r="I49" s="17" t="str">
        <f aca="false">IF(OR(G49="",H49=""),"",H49-G49)</f>
        <v/>
      </c>
      <c r="J49" s="4"/>
      <c r="K49" s="4"/>
      <c r="L49" s="18" t="str">
        <f aca="false">IF(F49="","",IF(COUNTIF('DS XE - TAI XE'!$B$6:$B$505,F49)&gt;0,"✓ Có","Chưa có trong DS xe"))</f>
        <v/>
      </c>
    </row>
    <row r="50" customFormat="false" ht="15" hidden="false" customHeight="false" outlineLevel="0" collapsed="false">
      <c r="A50" s="12" t="str">
        <f aca="false">IF(F50="","",COUNTA($F$8:F50))</f>
        <v/>
      </c>
      <c r="B50" s="4"/>
      <c r="C50" s="13"/>
      <c r="D50" s="14"/>
      <c r="E50" s="14"/>
      <c r="F50" s="15"/>
      <c r="G50" s="16"/>
      <c r="H50" s="16"/>
      <c r="I50" s="17" t="str">
        <f aca="false">IF(OR(G50="",H50=""),"",H50-G50)</f>
        <v/>
      </c>
      <c r="J50" s="4"/>
      <c r="K50" s="4"/>
      <c r="L50" s="18" t="str">
        <f aca="false">IF(F50="","",IF(COUNTIF('DS XE - TAI XE'!$B$6:$B$505,F50)&gt;0,"✓ Có","Chưa có trong DS xe"))</f>
        <v/>
      </c>
    </row>
    <row r="51" customFormat="false" ht="15" hidden="false" customHeight="false" outlineLevel="0" collapsed="false">
      <c r="A51" s="12" t="str">
        <f aca="false">IF(F51="","",COUNTA($F$8:F51))</f>
        <v/>
      </c>
      <c r="B51" s="4"/>
      <c r="C51" s="13"/>
      <c r="D51" s="14"/>
      <c r="E51" s="14"/>
      <c r="F51" s="15"/>
      <c r="G51" s="16"/>
      <c r="H51" s="16"/>
      <c r="I51" s="17" t="str">
        <f aca="false">IF(OR(G51="",H51=""),"",H51-G51)</f>
        <v/>
      </c>
      <c r="J51" s="4"/>
      <c r="K51" s="4"/>
      <c r="L51" s="18" t="str">
        <f aca="false">IF(F51="","",IF(COUNTIF('DS XE - TAI XE'!$B$6:$B$505,F51)&gt;0,"✓ Có","Chưa có trong DS xe"))</f>
        <v/>
      </c>
    </row>
    <row r="52" customFormat="false" ht="15" hidden="false" customHeight="false" outlineLevel="0" collapsed="false">
      <c r="A52" s="12" t="str">
        <f aca="false">IF(F52="","",COUNTA($F$8:F52))</f>
        <v/>
      </c>
      <c r="B52" s="4"/>
      <c r="C52" s="13"/>
      <c r="D52" s="14"/>
      <c r="E52" s="14"/>
      <c r="F52" s="15"/>
      <c r="G52" s="16"/>
      <c r="H52" s="16"/>
      <c r="I52" s="17" t="str">
        <f aca="false">IF(OR(G52="",H52=""),"",H52-G52)</f>
        <v/>
      </c>
      <c r="J52" s="4"/>
      <c r="K52" s="4"/>
      <c r="L52" s="18" t="str">
        <f aca="false">IF(F52="","",IF(COUNTIF('DS XE - TAI XE'!$B$6:$B$505,F52)&gt;0,"✓ Có","Chưa có trong DS xe"))</f>
        <v/>
      </c>
    </row>
    <row r="53" customFormat="false" ht="15" hidden="false" customHeight="false" outlineLevel="0" collapsed="false">
      <c r="A53" s="12" t="str">
        <f aca="false">IF(F53="","",COUNTA($F$8:F53))</f>
        <v/>
      </c>
      <c r="B53" s="4"/>
      <c r="C53" s="13"/>
      <c r="D53" s="14"/>
      <c r="E53" s="14"/>
      <c r="F53" s="15"/>
      <c r="G53" s="16"/>
      <c r="H53" s="16"/>
      <c r="I53" s="17" t="str">
        <f aca="false">IF(OR(G53="",H53=""),"",H53-G53)</f>
        <v/>
      </c>
      <c r="J53" s="4"/>
      <c r="K53" s="4"/>
      <c r="L53" s="18" t="str">
        <f aca="false">IF(F53="","",IF(COUNTIF('DS XE - TAI XE'!$B$6:$B$505,F53)&gt;0,"✓ Có","Chưa có trong DS xe"))</f>
        <v/>
      </c>
    </row>
    <row r="54" customFormat="false" ht="15" hidden="false" customHeight="false" outlineLevel="0" collapsed="false">
      <c r="A54" s="12" t="str">
        <f aca="false">IF(F54="","",COUNTA($F$8:F54))</f>
        <v/>
      </c>
      <c r="B54" s="4"/>
      <c r="C54" s="13"/>
      <c r="D54" s="14"/>
      <c r="E54" s="14"/>
      <c r="F54" s="15"/>
      <c r="G54" s="16"/>
      <c r="H54" s="16"/>
      <c r="I54" s="17" t="str">
        <f aca="false">IF(OR(G54="",H54=""),"",H54-G54)</f>
        <v/>
      </c>
      <c r="J54" s="4"/>
      <c r="K54" s="4"/>
      <c r="L54" s="18" t="str">
        <f aca="false">IF(F54="","",IF(COUNTIF('DS XE - TAI XE'!$B$6:$B$505,F54)&gt;0,"✓ Có","Chưa có trong DS xe"))</f>
        <v/>
      </c>
    </row>
    <row r="55" customFormat="false" ht="15" hidden="false" customHeight="false" outlineLevel="0" collapsed="false">
      <c r="A55" s="12" t="str">
        <f aca="false">IF(F55="","",COUNTA($F$8:F55))</f>
        <v/>
      </c>
      <c r="B55" s="4"/>
      <c r="C55" s="13"/>
      <c r="D55" s="14"/>
      <c r="E55" s="14"/>
      <c r="F55" s="15"/>
      <c r="G55" s="16"/>
      <c r="H55" s="16"/>
      <c r="I55" s="17" t="str">
        <f aca="false">IF(OR(G55="",H55=""),"",H55-G55)</f>
        <v/>
      </c>
      <c r="J55" s="4"/>
      <c r="K55" s="4"/>
      <c r="L55" s="18" t="str">
        <f aca="false">IF(F55="","",IF(COUNTIF('DS XE - TAI XE'!$B$6:$B$505,F55)&gt;0,"✓ Có","Chưa có trong DS xe"))</f>
        <v/>
      </c>
    </row>
    <row r="56" customFormat="false" ht="15" hidden="false" customHeight="false" outlineLevel="0" collapsed="false">
      <c r="A56" s="12" t="str">
        <f aca="false">IF(F56="","",COUNTA($F$8:F56))</f>
        <v/>
      </c>
      <c r="B56" s="4"/>
      <c r="C56" s="13"/>
      <c r="D56" s="14"/>
      <c r="E56" s="14"/>
      <c r="F56" s="15"/>
      <c r="G56" s="16"/>
      <c r="H56" s="16"/>
      <c r="I56" s="17" t="str">
        <f aca="false">IF(OR(G56="",H56=""),"",H56-G56)</f>
        <v/>
      </c>
      <c r="J56" s="4"/>
      <c r="K56" s="4"/>
      <c r="L56" s="18" t="str">
        <f aca="false">IF(F56="","",IF(COUNTIF('DS XE - TAI XE'!$B$6:$B$505,F56)&gt;0,"✓ Có","Chưa có trong DS xe"))</f>
        <v/>
      </c>
    </row>
    <row r="57" customFormat="false" ht="15" hidden="false" customHeight="false" outlineLevel="0" collapsed="false">
      <c r="A57" s="12" t="str">
        <f aca="false">IF(F57="","",COUNTA($F$8:F57))</f>
        <v/>
      </c>
      <c r="B57" s="4"/>
      <c r="C57" s="13"/>
      <c r="D57" s="14"/>
      <c r="E57" s="14"/>
      <c r="F57" s="15"/>
      <c r="G57" s="16"/>
      <c r="H57" s="16"/>
      <c r="I57" s="17" t="str">
        <f aca="false">IF(OR(G57="",H57=""),"",H57-G57)</f>
        <v/>
      </c>
      <c r="J57" s="4"/>
      <c r="K57" s="4"/>
      <c r="L57" s="18" t="str">
        <f aca="false">IF(F57="","",IF(COUNTIF('DS XE - TAI XE'!$B$6:$B$505,F57)&gt;0,"✓ Có","Chưa có trong DS xe"))</f>
        <v/>
      </c>
    </row>
    <row r="58" customFormat="false" ht="15" hidden="false" customHeight="false" outlineLevel="0" collapsed="false">
      <c r="A58" s="12" t="str">
        <f aca="false">IF(F58="","",COUNTA($F$8:F58))</f>
        <v/>
      </c>
      <c r="B58" s="4"/>
      <c r="C58" s="13"/>
      <c r="D58" s="14"/>
      <c r="E58" s="14"/>
      <c r="F58" s="15"/>
      <c r="G58" s="16"/>
      <c r="H58" s="16"/>
      <c r="I58" s="17" t="str">
        <f aca="false">IF(OR(G58="",H58=""),"",H58-G58)</f>
        <v/>
      </c>
      <c r="J58" s="4"/>
      <c r="K58" s="4"/>
      <c r="L58" s="18" t="str">
        <f aca="false">IF(F58="","",IF(COUNTIF('DS XE - TAI XE'!$B$6:$B$505,F58)&gt;0,"✓ Có","Chưa có trong DS xe"))</f>
        <v/>
      </c>
    </row>
    <row r="59" customFormat="false" ht="15" hidden="false" customHeight="false" outlineLevel="0" collapsed="false">
      <c r="A59" s="12" t="str">
        <f aca="false">IF(F59="","",COUNTA($F$8:F59))</f>
        <v/>
      </c>
      <c r="B59" s="4"/>
      <c r="C59" s="13"/>
      <c r="D59" s="14"/>
      <c r="E59" s="14"/>
      <c r="F59" s="15"/>
      <c r="G59" s="16"/>
      <c r="H59" s="16"/>
      <c r="I59" s="17" t="str">
        <f aca="false">IF(OR(G59="",H59=""),"",H59-G59)</f>
        <v/>
      </c>
      <c r="J59" s="4"/>
      <c r="K59" s="4"/>
      <c r="L59" s="18" t="str">
        <f aca="false">IF(F59="","",IF(COUNTIF('DS XE - TAI XE'!$B$6:$B$505,F59)&gt;0,"✓ Có","Chưa có trong DS xe"))</f>
        <v/>
      </c>
    </row>
    <row r="60" customFormat="false" ht="15" hidden="false" customHeight="false" outlineLevel="0" collapsed="false">
      <c r="A60" s="12" t="str">
        <f aca="false">IF(F60="","",COUNTA($F$8:F60))</f>
        <v/>
      </c>
      <c r="B60" s="4"/>
      <c r="C60" s="13"/>
      <c r="D60" s="14"/>
      <c r="E60" s="14"/>
      <c r="F60" s="15"/>
      <c r="G60" s="16"/>
      <c r="H60" s="16"/>
      <c r="I60" s="17" t="str">
        <f aca="false">IF(OR(G60="",H60=""),"",H60-G60)</f>
        <v/>
      </c>
      <c r="J60" s="4"/>
      <c r="K60" s="4"/>
      <c r="L60" s="18" t="str">
        <f aca="false">IF(F60="","",IF(COUNTIF('DS XE - TAI XE'!$B$6:$B$505,F60)&gt;0,"✓ Có","Chưa có trong DS xe"))</f>
        <v/>
      </c>
    </row>
    <row r="61" customFormat="false" ht="15" hidden="false" customHeight="false" outlineLevel="0" collapsed="false">
      <c r="A61" s="12" t="str">
        <f aca="false">IF(F61="","",COUNTA($F$8:F61))</f>
        <v/>
      </c>
      <c r="B61" s="4"/>
      <c r="C61" s="13"/>
      <c r="D61" s="14"/>
      <c r="E61" s="14"/>
      <c r="F61" s="15"/>
      <c r="G61" s="16"/>
      <c r="H61" s="16"/>
      <c r="I61" s="17" t="str">
        <f aca="false">IF(OR(G61="",H61=""),"",H61-G61)</f>
        <v/>
      </c>
      <c r="J61" s="4"/>
      <c r="K61" s="4"/>
      <c r="L61" s="18" t="str">
        <f aca="false">IF(F61="","",IF(COUNTIF('DS XE - TAI XE'!$B$6:$B$505,F61)&gt;0,"✓ Có","Chưa có trong DS xe"))</f>
        <v/>
      </c>
    </row>
    <row r="62" customFormat="false" ht="15" hidden="false" customHeight="false" outlineLevel="0" collapsed="false">
      <c r="A62" s="12" t="str">
        <f aca="false">IF(F62="","",COUNTA($F$8:F62))</f>
        <v/>
      </c>
      <c r="B62" s="4"/>
      <c r="C62" s="13"/>
      <c r="D62" s="14"/>
      <c r="E62" s="14"/>
      <c r="F62" s="15"/>
      <c r="G62" s="16"/>
      <c r="H62" s="16"/>
      <c r="I62" s="17" t="str">
        <f aca="false">IF(OR(G62="",H62=""),"",H62-G62)</f>
        <v/>
      </c>
      <c r="J62" s="4"/>
      <c r="K62" s="4"/>
      <c r="L62" s="18" t="str">
        <f aca="false">IF(F62="","",IF(COUNTIF('DS XE - TAI XE'!$B$6:$B$505,F62)&gt;0,"✓ Có","Chưa có trong DS xe"))</f>
        <v/>
      </c>
    </row>
    <row r="63" customFormat="false" ht="15" hidden="false" customHeight="false" outlineLevel="0" collapsed="false">
      <c r="A63" s="12" t="str">
        <f aca="false">IF(F63="","",COUNTA($F$8:F63))</f>
        <v/>
      </c>
      <c r="B63" s="4"/>
      <c r="C63" s="13"/>
      <c r="D63" s="14"/>
      <c r="E63" s="14"/>
      <c r="F63" s="15"/>
      <c r="G63" s="16"/>
      <c r="H63" s="16"/>
      <c r="I63" s="17" t="str">
        <f aca="false">IF(OR(G63="",H63=""),"",H63-G63)</f>
        <v/>
      </c>
      <c r="J63" s="4"/>
      <c r="K63" s="4"/>
      <c r="L63" s="18" t="str">
        <f aca="false">IF(F63="","",IF(COUNTIF('DS XE - TAI XE'!$B$6:$B$505,F63)&gt;0,"✓ Có","Chưa có trong DS xe"))</f>
        <v/>
      </c>
    </row>
    <row r="64" customFormat="false" ht="15" hidden="false" customHeight="false" outlineLevel="0" collapsed="false">
      <c r="A64" s="12" t="str">
        <f aca="false">IF(F64="","",COUNTA($F$8:F64))</f>
        <v/>
      </c>
      <c r="B64" s="4"/>
      <c r="C64" s="13"/>
      <c r="D64" s="14"/>
      <c r="E64" s="14"/>
      <c r="F64" s="15"/>
      <c r="G64" s="16"/>
      <c r="H64" s="16"/>
      <c r="I64" s="17" t="str">
        <f aca="false">IF(OR(G64="",H64=""),"",H64-G64)</f>
        <v/>
      </c>
      <c r="J64" s="4"/>
      <c r="K64" s="4"/>
      <c r="L64" s="18" t="str">
        <f aca="false">IF(F64="","",IF(COUNTIF('DS XE - TAI XE'!$B$6:$B$505,F64)&gt;0,"✓ Có","Chưa có trong DS xe"))</f>
        <v/>
      </c>
    </row>
    <row r="65" customFormat="false" ht="15" hidden="false" customHeight="false" outlineLevel="0" collapsed="false">
      <c r="A65" s="12" t="str">
        <f aca="false">IF(F65="","",COUNTA($F$8:F65))</f>
        <v/>
      </c>
      <c r="B65" s="4"/>
      <c r="C65" s="13"/>
      <c r="D65" s="14"/>
      <c r="E65" s="14"/>
      <c r="F65" s="15"/>
      <c r="G65" s="16"/>
      <c r="H65" s="16"/>
      <c r="I65" s="17" t="str">
        <f aca="false">IF(OR(G65="",H65=""),"",H65-G65)</f>
        <v/>
      </c>
      <c r="J65" s="4"/>
      <c r="K65" s="4"/>
      <c r="L65" s="18" t="str">
        <f aca="false">IF(F65="","",IF(COUNTIF('DS XE - TAI XE'!$B$6:$B$505,F65)&gt;0,"✓ Có","Chưa có trong DS xe"))</f>
        <v/>
      </c>
    </row>
    <row r="66" customFormat="false" ht="15" hidden="false" customHeight="false" outlineLevel="0" collapsed="false">
      <c r="A66" s="12" t="str">
        <f aca="false">IF(F66="","",COUNTA($F$8:F66))</f>
        <v/>
      </c>
      <c r="B66" s="4"/>
      <c r="C66" s="13"/>
      <c r="D66" s="14"/>
      <c r="E66" s="14"/>
      <c r="F66" s="15"/>
      <c r="G66" s="16"/>
      <c r="H66" s="16"/>
      <c r="I66" s="17" t="str">
        <f aca="false">IF(OR(G66="",H66=""),"",H66-G66)</f>
        <v/>
      </c>
      <c r="J66" s="4"/>
      <c r="K66" s="4"/>
      <c r="L66" s="18" t="str">
        <f aca="false">IF(F66="","",IF(COUNTIF('DS XE - TAI XE'!$B$6:$B$505,F66)&gt;0,"✓ Có","Chưa có trong DS xe"))</f>
        <v/>
      </c>
    </row>
    <row r="67" customFormat="false" ht="15" hidden="false" customHeight="false" outlineLevel="0" collapsed="false">
      <c r="A67" s="12" t="str">
        <f aca="false">IF(F67="","",COUNTA($F$8:F67))</f>
        <v/>
      </c>
      <c r="B67" s="4"/>
      <c r="C67" s="13"/>
      <c r="D67" s="14"/>
      <c r="E67" s="14"/>
      <c r="F67" s="15"/>
      <c r="G67" s="16"/>
      <c r="H67" s="16"/>
      <c r="I67" s="17" t="str">
        <f aca="false">IF(OR(G67="",H67=""),"",H67-G67)</f>
        <v/>
      </c>
      <c r="J67" s="4"/>
      <c r="K67" s="4"/>
      <c r="L67" s="18" t="str">
        <f aca="false">IF(F67="","",IF(COUNTIF('DS XE - TAI XE'!$B$6:$B$505,F67)&gt;0,"✓ Có","Chưa có trong DS xe"))</f>
        <v/>
      </c>
    </row>
    <row r="68" customFormat="false" ht="15" hidden="false" customHeight="false" outlineLevel="0" collapsed="false">
      <c r="A68" s="12" t="str">
        <f aca="false">IF(F68="","",COUNTA($F$8:F68))</f>
        <v/>
      </c>
      <c r="B68" s="4"/>
      <c r="C68" s="13"/>
      <c r="D68" s="14"/>
      <c r="E68" s="14"/>
      <c r="F68" s="15"/>
      <c r="G68" s="16"/>
      <c r="H68" s="16"/>
      <c r="I68" s="17" t="str">
        <f aca="false">IF(OR(G68="",H68=""),"",H68-G68)</f>
        <v/>
      </c>
      <c r="J68" s="4"/>
      <c r="K68" s="4"/>
      <c r="L68" s="18" t="str">
        <f aca="false">IF(F68="","",IF(COUNTIF('DS XE - TAI XE'!$B$6:$B$505,F68)&gt;0,"✓ Có","Chưa có trong DS xe"))</f>
        <v/>
      </c>
    </row>
    <row r="69" customFormat="false" ht="15" hidden="false" customHeight="false" outlineLevel="0" collapsed="false">
      <c r="A69" s="12" t="str">
        <f aca="false">IF(F69="","",COUNTA($F$8:F69))</f>
        <v/>
      </c>
      <c r="B69" s="4"/>
      <c r="C69" s="13"/>
      <c r="D69" s="14"/>
      <c r="E69" s="14"/>
      <c r="F69" s="15"/>
      <c r="G69" s="16"/>
      <c r="H69" s="16"/>
      <c r="I69" s="17" t="str">
        <f aca="false">IF(OR(G69="",H69=""),"",H69-G69)</f>
        <v/>
      </c>
      <c r="J69" s="4"/>
      <c r="K69" s="4"/>
      <c r="L69" s="18" t="str">
        <f aca="false">IF(F69="","",IF(COUNTIF('DS XE - TAI XE'!$B$6:$B$505,F69)&gt;0,"✓ Có","Chưa có trong DS xe"))</f>
        <v/>
      </c>
    </row>
    <row r="70" customFormat="false" ht="15" hidden="false" customHeight="false" outlineLevel="0" collapsed="false">
      <c r="A70" s="12" t="str">
        <f aca="false">IF(F70="","",COUNTA($F$8:F70))</f>
        <v/>
      </c>
      <c r="B70" s="4"/>
      <c r="C70" s="13"/>
      <c r="D70" s="14"/>
      <c r="E70" s="14"/>
      <c r="F70" s="15"/>
      <c r="G70" s="16"/>
      <c r="H70" s="16"/>
      <c r="I70" s="17" t="str">
        <f aca="false">IF(OR(G70="",H70=""),"",H70-G70)</f>
        <v/>
      </c>
      <c r="J70" s="4"/>
      <c r="K70" s="4"/>
      <c r="L70" s="18" t="str">
        <f aca="false">IF(F70="","",IF(COUNTIF('DS XE - TAI XE'!$B$6:$B$505,F70)&gt;0,"✓ Có","Chưa có trong DS xe"))</f>
        <v/>
      </c>
    </row>
    <row r="71" customFormat="false" ht="15" hidden="false" customHeight="false" outlineLevel="0" collapsed="false">
      <c r="A71" s="12" t="str">
        <f aca="false">IF(F71="","",COUNTA($F$8:F71))</f>
        <v/>
      </c>
      <c r="B71" s="4"/>
      <c r="C71" s="13"/>
      <c r="D71" s="14"/>
      <c r="E71" s="14"/>
      <c r="F71" s="15"/>
      <c r="G71" s="16"/>
      <c r="H71" s="16"/>
      <c r="I71" s="17" t="str">
        <f aca="false">IF(OR(G71="",H71=""),"",H71-G71)</f>
        <v/>
      </c>
      <c r="J71" s="4"/>
      <c r="K71" s="4"/>
      <c r="L71" s="18" t="str">
        <f aca="false">IF(F71="","",IF(COUNTIF('DS XE - TAI XE'!$B$6:$B$505,F71)&gt;0,"✓ Có","Chưa có trong DS xe"))</f>
        <v/>
      </c>
    </row>
    <row r="72" customFormat="false" ht="15" hidden="false" customHeight="false" outlineLevel="0" collapsed="false">
      <c r="A72" s="12" t="str">
        <f aca="false">IF(F72="","",COUNTA($F$8:F72))</f>
        <v/>
      </c>
      <c r="B72" s="4"/>
      <c r="C72" s="13"/>
      <c r="D72" s="14"/>
      <c r="E72" s="14"/>
      <c r="F72" s="15"/>
      <c r="G72" s="16"/>
      <c r="H72" s="16"/>
      <c r="I72" s="17" t="str">
        <f aca="false">IF(OR(G72="",H72=""),"",H72-G72)</f>
        <v/>
      </c>
      <c r="J72" s="4"/>
      <c r="K72" s="4"/>
      <c r="L72" s="18" t="str">
        <f aca="false">IF(F72="","",IF(COUNTIF('DS XE - TAI XE'!$B$6:$B$505,F72)&gt;0,"✓ Có","Chưa có trong DS xe"))</f>
        <v/>
      </c>
    </row>
    <row r="73" customFormat="false" ht="15" hidden="false" customHeight="false" outlineLevel="0" collapsed="false">
      <c r="A73" s="12" t="str">
        <f aca="false">IF(F73="","",COUNTA($F$8:F73))</f>
        <v/>
      </c>
      <c r="B73" s="4"/>
      <c r="C73" s="13"/>
      <c r="D73" s="14"/>
      <c r="E73" s="14"/>
      <c r="F73" s="15"/>
      <c r="G73" s="16"/>
      <c r="H73" s="16"/>
      <c r="I73" s="17" t="str">
        <f aca="false">IF(OR(G73="",H73=""),"",H73-G73)</f>
        <v/>
      </c>
      <c r="J73" s="4"/>
      <c r="K73" s="4"/>
      <c r="L73" s="18" t="str">
        <f aca="false">IF(F73="","",IF(COUNTIF('DS XE - TAI XE'!$B$6:$B$505,F73)&gt;0,"✓ Có","Chưa có trong DS xe"))</f>
        <v/>
      </c>
    </row>
    <row r="74" customFormat="false" ht="15" hidden="false" customHeight="false" outlineLevel="0" collapsed="false">
      <c r="A74" s="12" t="str">
        <f aca="false">IF(F74="","",COUNTA($F$8:F74))</f>
        <v/>
      </c>
      <c r="B74" s="4"/>
      <c r="C74" s="13"/>
      <c r="D74" s="14"/>
      <c r="E74" s="14"/>
      <c r="F74" s="15"/>
      <c r="G74" s="16"/>
      <c r="H74" s="16"/>
      <c r="I74" s="17" t="str">
        <f aca="false">IF(OR(G74="",H74=""),"",H74-G74)</f>
        <v/>
      </c>
      <c r="J74" s="4"/>
      <c r="K74" s="4"/>
      <c r="L74" s="18" t="str">
        <f aca="false">IF(F74="","",IF(COUNTIF('DS XE - TAI XE'!$B$6:$B$505,F74)&gt;0,"✓ Có","Chưa có trong DS xe"))</f>
        <v/>
      </c>
    </row>
    <row r="75" customFormat="false" ht="15" hidden="false" customHeight="false" outlineLevel="0" collapsed="false">
      <c r="A75" s="12" t="str">
        <f aca="false">IF(F75="","",COUNTA($F$8:F75))</f>
        <v/>
      </c>
      <c r="B75" s="4"/>
      <c r="C75" s="13"/>
      <c r="D75" s="14"/>
      <c r="E75" s="14"/>
      <c r="F75" s="15"/>
      <c r="G75" s="16"/>
      <c r="H75" s="16"/>
      <c r="I75" s="17" t="str">
        <f aca="false">IF(OR(G75="",H75=""),"",H75-G75)</f>
        <v/>
      </c>
      <c r="J75" s="4"/>
      <c r="K75" s="4"/>
      <c r="L75" s="18" t="str">
        <f aca="false">IF(F75="","",IF(COUNTIF('DS XE - TAI XE'!$B$6:$B$505,F75)&gt;0,"✓ Có","Chưa có trong DS xe"))</f>
        <v/>
      </c>
    </row>
    <row r="76" customFormat="false" ht="15" hidden="false" customHeight="false" outlineLevel="0" collapsed="false">
      <c r="A76" s="12" t="str">
        <f aca="false">IF(F76="","",COUNTA($F$8:F76))</f>
        <v/>
      </c>
      <c r="B76" s="4"/>
      <c r="C76" s="13"/>
      <c r="D76" s="14"/>
      <c r="E76" s="14"/>
      <c r="F76" s="15"/>
      <c r="G76" s="16"/>
      <c r="H76" s="16"/>
      <c r="I76" s="17" t="str">
        <f aca="false">IF(OR(G76="",H76=""),"",H76-G76)</f>
        <v/>
      </c>
      <c r="J76" s="4"/>
      <c r="K76" s="4"/>
      <c r="L76" s="18" t="str">
        <f aca="false">IF(F76="","",IF(COUNTIF('DS XE - TAI XE'!$B$6:$B$505,F76)&gt;0,"✓ Có","Chưa có trong DS xe"))</f>
        <v/>
      </c>
    </row>
    <row r="77" customFormat="false" ht="15" hidden="false" customHeight="false" outlineLevel="0" collapsed="false">
      <c r="A77" s="12" t="str">
        <f aca="false">IF(F77="","",COUNTA($F$8:F77))</f>
        <v/>
      </c>
      <c r="B77" s="4"/>
      <c r="C77" s="13"/>
      <c r="D77" s="14"/>
      <c r="E77" s="14"/>
      <c r="F77" s="15"/>
      <c r="G77" s="16"/>
      <c r="H77" s="16"/>
      <c r="I77" s="17" t="str">
        <f aca="false">IF(OR(G77="",H77=""),"",H77-G77)</f>
        <v/>
      </c>
      <c r="J77" s="4"/>
      <c r="K77" s="4"/>
      <c r="L77" s="18" t="str">
        <f aca="false">IF(F77="","",IF(COUNTIF('DS XE - TAI XE'!$B$6:$B$505,F77)&gt;0,"✓ Có","Chưa có trong DS xe"))</f>
        <v/>
      </c>
    </row>
    <row r="78" customFormat="false" ht="15" hidden="false" customHeight="false" outlineLevel="0" collapsed="false">
      <c r="A78" s="12" t="str">
        <f aca="false">IF(F78="","",COUNTA($F$8:F78))</f>
        <v/>
      </c>
      <c r="B78" s="4"/>
      <c r="C78" s="13"/>
      <c r="D78" s="14"/>
      <c r="E78" s="14"/>
      <c r="F78" s="15"/>
      <c r="G78" s="16"/>
      <c r="H78" s="16"/>
      <c r="I78" s="17" t="str">
        <f aca="false">IF(OR(G78="",H78=""),"",H78-G78)</f>
        <v/>
      </c>
      <c r="J78" s="4"/>
      <c r="K78" s="4"/>
      <c r="L78" s="18" t="str">
        <f aca="false">IF(F78="","",IF(COUNTIF('DS XE - TAI XE'!$B$6:$B$505,F78)&gt;0,"✓ Có","Chưa có trong DS xe"))</f>
        <v/>
      </c>
    </row>
    <row r="79" customFormat="false" ht="15" hidden="false" customHeight="false" outlineLevel="0" collapsed="false">
      <c r="A79" s="12" t="str">
        <f aca="false">IF(F79="","",COUNTA($F$8:F79))</f>
        <v/>
      </c>
      <c r="B79" s="4"/>
      <c r="C79" s="13"/>
      <c r="D79" s="14"/>
      <c r="E79" s="14"/>
      <c r="F79" s="15"/>
      <c r="G79" s="16"/>
      <c r="H79" s="16"/>
      <c r="I79" s="17" t="str">
        <f aca="false">IF(OR(G79="",H79=""),"",H79-G79)</f>
        <v/>
      </c>
      <c r="J79" s="4"/>
      <c r="K79" s="4"/>
      <c r="L79" s="18" t="str">
        <f aca="false">IF(F79="","",IF(COUNTIF('DS XE - TAI XE'!$B$6:$B$505,F79)&gt;0,"✓ Có","Chưa có trong DS xe"))</f>
        <v/>
      </c>
    </row>
    <row r="80" customFormat="false" ht="15" hidden="false" customHeight="false" outlineLevel="0" collapsed="false">
      <c r="A80" s="12" t="str">
        <f aca="false">IF(F80="","",COUNTA($F$8:F80))</f>
        <v/>
      </c>
      <c r="B80" s="4"/>
      <c r="C80" s="13"/>
      <c r="D80" s="14"/>
      <c r="E80" s="14"/>
      <c r="F80" s="15"/>
      <c r="G80" s="16"/>
      <c r="H80" s="16"/>
      <c r="I80" s="17" t="str">
        <f aca="false">IF(OR(G80="",H80=""),"",H80-G80)</f>
        <v/>
      </c>
      <c r="J80" s="4"/>
      <c r="K80" s="4"/>
      <c r="L80" s="18" t="str">
        <f aca="false">IF(F80="","",IF(COUNTIF('DS XE - TAI XE'!$B$6:$B$505,F80)&gt;0,"✓ Có","Chưa có trong DS xe"))</f>
        <v/>
      </c>
    </row>
    <row r="81" customFormat="false" ht="15" hidden="false" customHeight="false" outlineLevel="0" collapsed="false">
      <c r="A81" s="12" t="str">
        <f aca="false">IF(F81="","",COUNTA($F$8:F81))</f>
        <v/>
      </c>
      <c r="B81" s="4"/>
      <c r="C81" s="13"/>
      <c r="D81" s="14"/>
      <c r="E81" s="14"/>
      <c r="F81" s="15"/>
      <c r="G81" s="16"/>
      <c r="H81" s="16"/>
      <c r="I81" s="17" t="str">
        <f aca="false">IF(OR(G81="",H81=""),"",H81-G81)</f>
        <v/>
      </c>
      <c r="J81" s="4"/>
      <c r="K81" s="4"/>
      <c r="L81" s="18" t="str">
        <f aca="false">IF(F81="","",IF(COUNTIF('DS XE - TAI XE'!$B$6:$B$505,F81)&gt;0,"✓ Có","Chưa có trong DS xe"))</f>
        <v/>
      </c>
    </row>
    <row r="82" customFormat="false" ht="15" hidden="false" customHeight="false" outlineLevel="0" collapsed="false">
      <c r="A82" s="12" t="str">
        <f aca="false">IF(F82="","",COUNTA($F$8:F82))</f>
        <v/>
      </c>
      <c r="B82" s="4"/>
      <c r="C82" s="13"/>
      <c r="D82" s="14"/>
      <c r="E82" s="14"/>
      <c r="F82" s="15"/>
      <c r="G82" s="16"/>
      <c r="H82" s="16"/>
      <c r="I82" s="17" t="str">
        <f aca="false">IF(OR(G82="",H82=""),"",H82-G82)</f>
        <v/>
      </c>
      <c r="J82" s="4"/>
      <c r="K82" s="4"/>
      <c r="L82" s="18" t="str">
        <f aca="false">IF(F82="","",IF(COUNTIF('DS XE - TAI XE'!$B$6:$B$505,F82)&gt;0,"✓ Có","Chưa có trong DS xe"))</f>
        <v/>
      </c>
    </row>
    <row r="83" customFormat="false" ht="15" hidden="false" customHeight="false" outlineLevel="0" collapsed="false">
      <c r="A83" s="12" t="str">
        <f aca="false">IF(F83="","",COUNTA($F$8:F83))</f>
        <v/>
      </c>
      <c r="B83" s="4"/>
      <c r="C83" s="13"/>
      <c r="D83" s="14"/>
      <c r="E83" s="14"/>
      <c r="F83" s="15"/>
      <c r="G83" s="16"/>
      <c r="H83" s="16"/>
      <c r="I83" s="17" t="str">
        <f aca="false">IF(OR(G83="",H83=""),"",H83-G83)</f>
        <v/>
      </c>
      <c r="J83" s="4"/>
      <c r="K83" s="4"/>
      <c r="L83" s="18" t="str">
        <f aca="false">IF(F83="","",IF(COUNTIF('DS XE - TAI XE'!$B$6:$B$505,F83)&gt;0,"✓ Có","Chưa có trong DS xe"))</f>
        <v/>
      </c>
    </row>
    <row r="84" customFormat="false" ht="15" hidden="false" customHeight="false" outlineLevel="0" collapsed="false">
      <c r="A84" s="12" t="str">
        <f aca="false">IF(F84="","",COUNTA($F$8:F84))</f>
        <v/>
      </c>
      <c r="B84" s="4"/>
      <c r="C84" s="13"/>
      <c r="D84" s="14"/>
      <c r="E84" s="14"/>
      <c r="F84" s="15"/>
      <c r="G84" s="16"/>
      <c r="H84" s="16"/>
      <c r="I84" s="17" t="str">
        <f aca="false">IF(OR(G84="",H84=""),"",H84-G84)</f>
        <v/>
      </c>
      <c r="J84" s="4"/>
      <c r="K84" s="4"/>
      <c r="L84" s="18" t="str">
        <f aca="false">IF(F84="","",IF(COUNTIF('DS XE - TAI XE'!$B$6:$B$505,F84)&gt;0,"✓ Có","Chưa có trong DS xe"))</f>
        <v/>
      </c>
    </row>
    <row r="85" customFormat="false" ht="15" hidden="false" customHeight="false" outlineLevel="0" collapsed="false">
      <c r="A85" s="12" t="str">
        <f aca="false">IF(F85="","",COUNTA($F$8:F85))</f>
        <v/>
      </c>
      <c r="B85" s="4"/>
      <c r="C85" s="13"/>
      <c r="D85" s="14"/>
      <c r="E85" s="14"/>
      <c r="F85" s="15"/>
      <c r="G85" s="16"/>
      <c r="H85" s="16"/>
      <c r="I85" s="17" t="str">
        <f aca="false">IF(OR(G85="",H85=""),"",H85-G85)</f>
        <v/>
      </c>
      <c r="J85" s="4"/>
      <c r="K85" s="4"/>
      <c r="L85" s="18" t="str">
        <f aca="false">IF(F85="","",IF(COUNTIF('DS XE - TAI XE'!$B$6:$B$505,F85)&gt;0,"✓ Có","Chưa có trong DS xe"))</f>
        <v/>
      </c>
    </row>
    <row r="86" customFormat="false" ht="15" hidden="false" customHeight="false" outlineLevel="0" collapsed="false">
      <c r="A86" s="12" t="str">
        <f aca="false">IF(F86="","",COUNTA($F$8:F86))</f>
        <v/>
      </c>
      <c r="B86" s="4"/>
      <c r="C86" s="13"/>
      <c r="D86" s="14"/>
      <c r="E86" s="14"/>
      <c r="F86" s="15"/>
      <c r="G86" s="16"/>
      <c r="H86" s="16"/>
      <c r="I86" s="17" t="str">
        <f aca="false">IF(OR(G86="",H86=""),"",H86-G86)</f>
        <v/>
      </c>
      <c r="J86" s="4"/>
      <c r="K86" s="4"/>
      <c r="L86" s="18" t="str">
        <f aca="false">IF(F86="","",IF(COUNTIF('DS XE - TAI XE'!$B$6:$B$505,F86)&gt;0,"✓ Có","Chưa có trong DS xe"))</f>
        <v/>
      </c>
    </row>
    <row r="87" customFormat="false" ht="15" hidden="false" customHeight="false" outlineLevel="0" collapsed="false">
      <c r="A87" s="12" t="str">
        <f aca="false">IF(F87="","",COUNTA($F$8:F87))</f>
        <v/>
      </c>
      <c r="B87" s="4"/>
      <c r="C87" s="13"/>
      <c r="D87" s="14"/>
      <c r="E87" s="14"/>
      <c r="F87" s="15"/>
      <c r="G87" s="16"/>
      <c r="H87" s="16"/>
      <c r="I87" s="17" t="str">
        <f aca="false">IF(OR(G87="",H87=""),"",H87-G87)</f>
        <v/>
      </c>
      <c r="J87" s="4"/>
      <c r="K87" s="4"/>
      <c r="L87" s="18" t="str">
        <f aca="false">IF(F87="","",IF(COUNTIF('DS XE - TAI XE'!$B$6:$B$505,F87)&gt;0,"✓ Có","Chưa có trong DS xe"))</f>
        <v/>
      </c>
    </row>
    <row r="88" customFormat="false" ht="15" hidden="false" customHeight="false" outlineLevel="0" collapsed="false">
      <c r="A88" s="12" t="str">
        <f aca="false">IF(F88="","",COUNTA($F$8:F88))</f>
        <v/>
      </c>
      <c r="B88" s="4"/>
      <c r="C88" s="13"/>
      <c r="D88" s="14"/>
      <c r="E88" s="14"/>
      <c r="F88" s="15"/>
      <c r="G88" s="16"/>
      <c r="H88" s="16"/>
      <c r="I88" s="17" t="str">
        <f aca="false">IF(OR(G88="",H88=""),"",H88-G88)</f>
        <v/>
      </c>
      <c r="J88" s="4"/>
      <c r="K88" s="4"/>
      <c r="L88" s="18" t="str">
        <f aca="false">IF(F88="","",IF(COUNTIF('DS XE - TAI XE'!$B$6:$B$505,F88)&gt;0,"✓ Có","Chưa có trong DS xe"))</f>
        <v/>
      </c>
    </row>
    <row r="89" customFormat="false" ht="15" hidden="false" customHeight="false" outlineLevel="0" collapsed="false">
      <c r="A89" s="12" t="str">
        <f aca="false">IF(F89="","",COUNTA($F$8:F89))</f>
        <v/>
      </c>
      <c r="B89" s="4"/>
      <c r="C89" s="13"/>
      <c r="D89" s="14"/>
      <c r="E89" s="14"/>
      <c r="F89" s="15"/>
      <c r="G89" s="16"/>
      <c r="H89" s="16"/>
      <c r="I89" s="17" t="str">
        <f aca="false">IF(OR(G89="",H89=""),"",H89-G89)</f>
        <v/>
      </c>
      <c r="J89" s="4"/>
      <c r="K89" s="4"/>
      <c r="L89" s="18" t="str">
        <f aca="false">IF(F89="","",IF(COUNTIF('DS XE - TAI XE'!$B$6:$B$505,F89)&gt;0,"✓ Có","Chưa có trong DS xe"))</f>
        <v/>
      </c>
    </row>
    <row r="90" customFormat="false" ht="15" hidden="false" customHeight="false" outlineLevel="0" collapsed="false">
      <c r="A90" s="12" t="str">
        <f aca="false">IF(F90="","",COUNTA($F$8:F90))</f>
        <v/>
      </c>
      <c r="B90" s="4"/>
      <c r="C90" s="13"/>
      <c r="D90" s="14"/>
      <c r="E90" s="14"/>
      <c r="F90" s="15"/>
      <c r="G90" s="16"/>
      <c r="H90" s="16"/>
      <c r="I90" s="17" t="str">
        <f aca="false">IF(OR(G90="",H90=""),"",H90-G90)</f>
        <v/>
      </c>
      <c r="J90" s="4"/>
      <c r="K90" s="4"/>
      <c r="L90" s="18" t="str">
        <f aca="false">IF(F90="","",IF(COUNTIF('DS XE - TAI XE'!$B$6:$B$505,F90)&gt;0,"✓ Có","Chưa có trong DS xe"))</f>
        <v/>
      </c>
    </row>
    <row r="91" customFormat="false" ht="15" hidden="false" customHeight="false" outlineLevel="0" collapsed="false">
      <c r="A91" s="12" t="str">
        <f aca="false">IF(F91="","",COUNTA($F$8:F91))</f>
        <v/>
      </c>
      <c r="B91" s="4"/>
      <c r="C91" s="13"/>
      <c r="D91" s="14"/>
      <c r="E91" s="14"/>
      <c r="F91" s="15"/>
      <c r="G91" s="16"/>
      <c r="H91" s="16"/>
      <c r="I91" s="17" t="str">
        <f aca="false">IF(OR(G91="",H91=""),"",H91-G91)</f>
        <v/>
      </c>
      <c r="J91" s="4"/>
      <c r="K91" s="4"/>
      <c r="L91" s="18" t="str">
        <f aca="false">IF(F91="","",IF(COUNTIF('DS XE - TAI XE'!$B$6:$B$505,F91)&gt;0,"✓ Có","Chưa có trong DS xe"))</f>
        <v/>
      </c>
    </row>
    <row r="92" customFormat="false" ht="15" hidden="false" customHeight="false" outlineLevel="0" collapsed="false">
      <c r="A92" s="12" t="str">
        <f aca="false">IF(F92="","",COUNTA($F$8:F92))</f>
        <v/>
      </c>
      <c r="B92" s="4"/>
      <c r="C92" s="13"/>
      <c r="D92" s="14"/>
      <c r="E92" s="14"/>
      <c r="F92" s="15"/>
      <c r="G92" s="16"/>
      <c r="H92" s="16"/>
      <c r="I92" s="17" t="str">
        <f aca="false">IF(OR(G92="",H92=""),"",H92-G92)</f>
        <v/>
      </c>
      <c r="J92" s="4"/>
      <c r="K92" s="4"/>
      <c r="L92" s="18" t="str">
        <f aca="false">IF(F92="","",IF(COUNTIF('DS XE - TAI XE'!$B$6:$B$505,F92)&gt;0,"✓ Có","Chưa có trong DS xe"))</f>
        <v/>
      </c>
    </row>
    <row r="93" customFormat="false" ht="15" hidden="false" customHeight="false" outlineLevel="0" collapsed="false">
      <c r="A93" s="12" t="str">
        <f aca="false">IF(F93="","",COUNTA($F$8:F93))</f>
        <v/>
      </c>
      <c r="B93" s="4"/>
      <c r="C93" s="13"/>
      <c r="D93" s="14"/>
      <c r="E93" s="14"/>
      <c r="F93" s="15"/>
      <c r="G93" s="16"/>
      <c r="H93" s="16"/>
      <c r="I93" s="17" t="str">
        <f aca="false">IF(OR(G93="",H93=""),"",H93-G93)</f>
        <v/>
      </c>
      <c r="J93" s="4"/>
      <c r="K93" s="4"/>
      <c r="L93" s="18" t="str">
        <f aca="false">IF(F93="","",IF(COUNTIF('DS XE - TAI XE'!$B$6:$B$505,F93)&gt;0,"✓ Có","Chưa có trong DS xe"))</f>
        <v/>
      </c>
    </row>
    <row r="94" customFormat="false" ht="15" hidden="false" customHeight="false" outlineLevel="0" collapsed="false">
      <c r="A94" s="12" t="str">
        <f aca="false">IF(F94="","",COUNTA($F$8:F94))</f>
        <v/>
      </c>
      <c r="B94" s="4"/>
      <c r="C94" s="13"/>
      <c r="D94" s="14"/>
      <c r="E94" s="14"/>
      <c r="F94" s="15"/>
      <c r="G94" s="16"/>
      <c r="H94" s="16"/>
      <c r="I94" s="17" t="str">
        <f aca="false">IF(OR(G94="",H94=""),"",H94-G94)</f>
        <v/>
      </c>
      <c r="J94" s="4"/>
      <c r="K94" s="4"/>
      <c r="L94" s="18" t="str">
        <f aca="false">IF(F94="","",IF(COUNTIF('DS XE - TAI XE'!$B$6:$B$505,F94)&gt;0,"✓ Có","Chưa có trong DS xe"))</f>
        <v/>
      </c>
    </row>
    <row r="95" customFormat="false" ht="15" hidden="false" customHeight="false" outlineLevel="0" collapsed="false">
      <c r="A95" s="12" t="str">
        <f aca="false">IF(F95="","",COUNTA($F$8:F95))</f>
        <v/>
      </c>
      <c r="B95" s="4"/>
      <c r="C95" s="13"/>
      <c r="D95" s="14"/>
      <c r="E95" s="14"/>
      <c r="F95" s="15"/>
      <c r="G95" s="16"/>
      <c r="H95" s="16"/>
      <c r="I95" s="17" t="str">
        <f aca="false">IF(OR(G95="",H95=""),"",H95-G95)</f>
        <v/>
      </c>
      <c r="J95" s="4"/>
      <c r="K95" s="4"/>
      <c r="L95" s="18" t="str">
        <f aca="false">IF(F95="","",IF(COUNTIF('DS XE - TAI XE'!$B$6:$B$505,F95)&gt;0,"✓ Có","Chưa có trong DS xe"))</f>
        <v/>
      </c>
    </row>
    <row r="96" customFormat="false" ht="15" hidden="false" customHeight="false" outlineLevel="0" collapsed="false">
      <c r="A96" s="12" t="str">
        <f aca="false">IF(F96="","",COUNTA($F$8:F96))</f>
        <v/>
      </c>
      <c r="B96" s="4"/>
      <c r="C96" s="13"/>
      <c r="D96" s="14"/>
      <c r="E96" s="14"/>
      <c r="F96" s="15"/>
      <c r="G96" s="16"/>
      <c r="H96" s="16"/>
      <c r="I96" s="17" t="str">
        <f aca="false">IF(OR(G96="",H96=""),"",H96-G96)</f>
        <v/>
      </c>
      <c r="J96" s="4"/>
      <c r="K96" s="4"/>
      <c r="L96" s="18" t="str">
        <f aca="false">IF(F96="","",IF(COUNTIF('DS XE - TAI XE'!$B$6:$B$505,F96)&gt;0,"✓ Có","Chưa có trong DS xe"))</f>
        <v/>
      </c>
    </row>
    <row r="97" customFormat="false" ht="15" hidden="false" customHeight="false" outlineLevel="0" collapsed="false">
      <c r="A97" s="12" t="str">
        <f aca="false">IF(F97="","",COUNTA($F$8:F97))</f>
        <v/>
      </c>
      <c r="B97" s="4"/>
      <c r="C97" s="13"/>
      <c r="D97" s="14"/>
      <c r="E97" s="14"/>
      <c r="F97" s="15"/>
      <c r="G97" s="16"/>
      <c r="H97" s="16"/>
      <c r="I97" s="17" t="str">
        <f aca="false">IF(OR(G97="",H97=""),"",H97-G97)</f>
        <v/>
      </c>
      <c r="J97" s="4"/>
      <c r="K97" s="4"/>
      <c r="L97" s="18" t="str">
        <f aca="false">IF(F97="","",IF(COUNTIF('DS XE - TAI XE'!$B$6:$B$505,F97)&gt;0,"✓ Có","Chưa có trong DS xe"))</f>
        <v/>
      </c>
    </row>
    <row r="98" customFormat="false" ht="15" hidden="false" customHeight="false" outlineLevel="0" collapsed="false">
      <c r="A98" s="12" t="str">
        <f aca="false">IF(F98="","",COUNTA($F$8:F98))</f>
        <v/>
      </c>
      <c r="B98" s="4"/>
      <c r="C98" s="13"/>
      <c r="D98" s="14"/>
      <c r="E98" s="14"/>
      <c r="F98" s="15"/>
      <c r="G98" s="16"/>
      <c r="H98" s="16"/>
      <c r="I98" s="17" t="str">
        <f aca="false">IF(OR(G98="",H98=""),"",H98-G98)</f>
        <v/>
      </c>
      <c r="J98" s="4"/>
      <c r="K98" s="4"/>
      <c r="L98" s="18" t="str">
        <f aca="false">IF(F98="","",IF(COUNTIF('DS XE - TAI XE'!$B$6:$B$505,F98)&gt;0,"✓ Có","Chưa có trong DS xe"))</f>
        <v/>
      </c>
    </row>
    <row r="99" customFormat="false" ht="15" hidden="false" customHeight="false" outlineLevel="0" collapsed="false">
      <c r="A99" s="12" t="str">
        <f aca="false">IF(F99="","",COUNTA($F$8:F99))</f>
        <v/>
      </c>
      <c r="B99" s="4"/>
      <c r="C99" s="13"/>
      <c r="D99" s="14"/>
      <c r="E99" s="14"/>
      <c r="F99" s="15"/>
      <c r="G99" s="16"/>
      <c r="H99" s="16"/>
      <c r="I99" s="17" t="str">
        <f aca="false">IF(OR(G99="",H99=""),"",H99-G99)</f>
        <v/>
      </c>
      <c r="J99" s="4"/>
      <c r="K99" s="4"/>
      <c r="L99" s="18" t="str">
        <f aca="false">IF(F99="","",IF(COUNTIF('DS XE - TAI XE'!$B$6:$B$505,F99)&gt;0,"✓ Có","Chưa có trong DS xe"))</f>
        <v/>
      </c>
    </row>
    <row r="100" customFormat="false" ht="15" hidden="false" customHeight="false" outlineLevel="0" collapsed="false">
      <c r="A100" s="12" t="str">
        <f aca="false">IF(F100="","",COUNTA($F$8:F100))</f>
        <v/>
      </c>
      <c r="B100" s="4"/>
      <c r="C100" s="13"/>
      <c r="D100" s="14"/>
      <c r="E100" s="14"/>
      <c r="F100" s="15"/>
      <c r="G100" s="16"/>
      <c r="H100" s="16"/>
      <c r="I100" s="17" t="str">
        <f aca="false">IF(OR(G100="",H100=""),"",H100-G100)</f>
        <v/>
      </c>
      <c r="J100" s="4"/>
      <c r="K100" s="4"/>
      <c r="L100" s="18" t="str">
        <f aca="false">IF(F100="","",IF(COUNTIF('DS XE - TAI XE'!$B$6:$B$505,F100)&gt;0,"✓ Có","Chưa có trong DS xe"))</f>
        <v/>
      </c>
    </row>
    <row r="101" customFormat="false" ht="15" hidden="false" customHeight="false" outlineLevel="0" collapsed="false">
      <c r="A101" s="12" t="str">
        <f aca="false">IF(F101="","",COUNTA($F$8:F101))</f>
        <v/>
      </c>
      <c r="B101" s="4"/>
      <c r="C101" s="13"/>
      <c r="D101" s="14"/>
      <c r="E101" s="14"/>
      <c r="F101" s="15"/>
      <c r="G101" s="16"/>
      <c r="H101" s="16"/>
      <c r="I101" s="17" t="str">
        <f aca="false">IF(OR(G101="",H101=""),"",H101-G101)</f>
        <v/>
      </c>
      <c r="J101" s="4"/>
      <c r="K101" s="4"/>
      <c r="L101" s="18" t="str">
        <f aca="false">IF(F101="","",IF(COUNTIF('DS XE - TAI XE'!$B$6:$B$505,F101)&gt;0,"✓ Có","Chưa có trong DS xe"))</f>
        <v/>
      </c>
    </row>
    <row r="102" customFormat="false" ht="15" hidden="false" customHeight="false" outlineLevel="0" collapsed="false">
      <c r="A102" s="12" t="str">
        <f aca="false">IF(F102="","",COUNTA($F$8:F102))</f>
        <v/>
      </c>
      <c r="B102" s="4"/>
      <c r="C102" s="13"/>
      <c r="D102" s="14"/>
      <c r="E102" s="14"/>
      <c r="F102" s="15"/>
      <c r="G102" s="16"/>
      <c r="H102" s="16"/>
      <c r="I102" s="17" t="str">
        <f aca="false">IF(OR(G102="",H102=""),"",H102-G102)</f>
        <v/>
      </c>
      <c r="J102" s="4"/>
      <c r="K102" s="4"/>
      <c r="L102" s="18" t="str">
        <f aca="false">IF(F102="","",IF(COUNTIF('DS XE - TAI XE'!$B$6:$B$505,F102)&gt;0,"✓ Có","Chưa có trong DS xe"))</f>
        <v/>
      </c>
    </row>
    <row r="103" customFormat="false" ht="15" hidden="false" customHeight="false" outlineLevel="0" collapsed="false">
      <c r="A103" s="12" t="str">
        <f aca="false">IF(F103="","",COUNTA($F$8:F103))</f>
        <v/>
      </c>
      <c r="B103" s="4"/>
      <c r="C103" s="13"/>
      <c r="D103" s="14"/>
      <c r="E103" s="14"/>
      <c r="F103" s="15"/>
      <c r="G103" s="16"/>
      <c r="H103" s="16"/>
      <c r="I103" s="17" t="str">
        <f aca="false">IF(OR(G103="",H103=""),"",H103-G103)</f>
        <v/>
      </c>
      <c r="J103" s="4"/>
      <c r="K103" s="4"/>
      <c r="L103" s="18" t="str">
        <f aca="false">IF(F103="","",IF(COUNTIF('DS XE - TAI XE'!$B$6:$B$505,F103)&gt;0,"✓ Có","Chưa có trong DS xe"))</f>
        <v/>
      </c>
    </row>
    <row r="104" customFormat="false" ht="15" hidden="false" customHeight="false" outlineLevel="0" collapsed="false">
      <c r="A104" s="12" t="str">
        <f aca="false">IF(F104="","",COUNTA($F$8:F104))</f>
        <v/>
      </c>
      <c r="B104" s="4"/>
      <c r="C104" s="13"/>
      <c r="D104" s="14"/>
      <c r="E104" s="14"/>
      <c r="F104" s="15"/>
      <c r="G104" s="16"/>
      <c r="H104" s="16"/>
      <c r="I104" s="17" t="str">
        <f aca="false">IF(OR(G104="",H104=""),"",H104-G104)</f>
        <v/>
      </c>
      <c r="J104" s="4"/>
      <c r="K104" s="4"/>
      <c r="L104" s="18" t="str">
        <f aca="false">IF(F104="","",IF(COUNTIF('DS XE - TAI XE'!$B$6:$B$505,F104)&gt;0,"✓ Có","Chưa có trong DS xe"))</f>
        <v/>
      </c>
    </row>
    <row r="105" customFormat="false" ht="15" hidden="false" customHeight="false" outlineLevel="0" collapsed="false">
      <c r="A105" s="12" t="str">
        <f aca="false">IF(F105="","",COUNTA($F$8:F105))</f>
        <v/>
      </c>
      <c r="B105" s="4"/>
      <c r="C105" s="13"/>
      <c r="D105" s="14"/>
      <c r="E105" s="14"/>
      <c r="F105" s="15"/>
      <c r="G105" s="16"/>
      <c r="H105" s="16"/>
      <c r="I105" s="17" t="str">
        <f aca="false">IF(OR(G105="",H105=""),"",H105-G105)</f>
        <v/>
      </c>
      <c r="J105" s="4"/>
      <c r="K105" s="4"/>
      <c r="L105" s="18" t="str">
        <f aca="false">IF(F105="","",IF(COUNTIF('DS XE - TAI XE'!$B$6:$B$505,F105)&gt;0,"✓ Có","Chưa có trong DS xe"))</f>
        <v/>
      </c>
    </row>
    <row r="106" customFormat="false" ht="15" hidden="false" customHeight="false" outlineLevel="0" collapsed="false">
      <c r="A106" s="12" t="str">
        <f aca="false">IF(F106="","",COUNTA($F$8:F106))</f>
        <v/>
      </c>
      <c r="B106" s="4"/>
      <c r="C106" s="13"/>
      <c r="D106" s="14"/>
      <c r="E106" s="14"/>
      <c r="F106" s="15"/>
      <c r="G106" s="16"/>
      <c r="H106" s="16"/>
      <c r="I106" s="17" t="str">
        <f aca="false">IF(OR(G106="",H106=""),"",H106-G106)</f>
        <v/>
      </c>
      <c r="J106" s="4"/>
      <c r="K106" s="4"/>
      <c r="L106" s="18" t="str">
        <f aca="false">IF(F106="","",IF(COUNTIF('DS XE - TAI XE'!$B$6:$B$505,F106)&gt;0,"✓ Có","Chưa có trong DS xe"))</f>
        <v/>
      </c>
    </row>
    <row r="107" customFormat="false" ht="15" hidden="false" customHeight="false" outlineLevel="0" collapsed="false">
      <c r="A107" s="12" t="str">
        <f aca="false">IF(F107="","",COUNTA($F$8:F107))</f>
        <v/>
      </c>
      <c r="B107" s="4"/>
      <c r="C107" s="13"/>
      <c r="D107" s="14"/>
      <c r="E107" s="14"/>
      <c r="F107" s="15"/>
      <c r="G107" s="16"/>
      <c r="H107" s="16"/>
      <c r="I107" s="17" t="str">
        <f aca="false">IF(OR(G107="",H107=""),"",H107-G107)</f>
        <v/>
      </c>
      <c r="J107" s="4"/>
      <c r="K107" s="4"/>
      <c r="L107" s="18" t="str">
        <f aca="false">IF(F107="","",IF(COUNTIF('DS XE - TAI XE'!$B$6:$B$505,F107)&gt;0,"✓ Có","Chưa có trong DS xe"))</f>
        <v/>
      </c>
    </row>
    <row r="108" customFormat="false" ht="15" hidden="false" customHeight="false" outlineLevel="0" collapsed="false">
      <c r="A108" s="12" t="str">
        <f aca="false">IF(F108="","",COUNTA($F$8:F108))</f>
        <v/>
      </c>
      <c r="B108" s="4"/>
      <c r="C108" s="13"/>
      <c r="D108" s="14"/>
      <c r="E108" s="14"/>
      <c r="F108" s="15"/>
      <c r="G108" s="16"/>
      <c r="H108" s="16"/>
      <c r="I108" s="17" t="str">
        <f aca="false">IF(OR(G108="",H108=""),"",H108-G108)</f>
        <v/>
      </c>
      <c r="J108" s="4"/>
      <c r="K108" s="4"/>
      <c r="L108" s="18" t="str">
        <f aca="false">IF(F108="","",IF(COUNTIF('DS XE - TAI XE'!$B$6:$B$505,F108)&gt;0,"✓ Có","Chưa có trong DS xe"))</f>
        <v/>
      </c>
    </row>
    <row r="109" customFormat="false" ht="15" hidden="false" customHeight="false" outlineLevel="0" collapsed="false">
      <c r="A109" s="12" t="str">
        <f aca="false">IF(F109="","",COUNTA($F$8:F109))</f>
        <v/>
      </c>
      <c r="B109" s="4"/>
      <c r="C109" s="13"/>
      <c r="D109" s="14"/>
      <c r="E109" s="14"/>
      <c r="F109" s="15"/>
      <c r="G109" s="16"/>
      <c r="H109" s="16"/>
      <c r="I109" s="17" t="str">
        <f aca="false">IF(OR(G109="",H109=""),"",H109-G109)</f>
        <v/>
      </c>
      <c r="J109" s="4"/>
      <c r="K109" s="4"/>
      <c r="L109" s="18" t="str">
        <f aca="false">IF(F109="","",IF(COUNTIF('DS XE - TAI XE'!$B$6:$B$505,F109)&gt;0,"✓ Có","Chưa có trong DS xe"))</f>
        <v/>
      </c>
    </row>
    <row r="110" customFormat="false" ht="15" hidden="false" customHeight="false" outlineLevel="0" collapsed="false">
      <c r="A110" s="12" t="str">
        <f aca="false">IF(F110="","",COUNTA($F$8:F110))</f>
        <v/>
      </c>
      <c r="B110" s="4"/>
      <c r="C110" s="13"/>
      <c r="D110" s="14"/>
      <c r="E110" s="14"/>
      <c r="F110" s="15"/>
      <c r="G110" s="16"/>
      <c r="H110" s="16"/>
      <c r="I110" s="17" t="str">
        <f aca="false">IF(OR(G110="",H110=""),"",H110-G110)</f>
        <v/>
      </c>
      <c r="J110" s="4"/>
      <c r="K110" s="4"/>
      <c r="L110" s="18" t="str">
        <f aca="false">IF(F110="","",IF(COUNTIF('DS XE - TAI XE'!$B$6:$B$505,F110)&gt;0,"✓ Có","Chưa có trong DS xe"))</f>
        <v/>
      </c>
    </row>
    <row r="111" customFormat="false" ht="15" hidden="false" customHeight="false" outlineLevel="0" collapsed="false">
      <c r="A111" s="12" t="str">
        <f aca="false">IF(F111="","",COUNTA($F$8:F111))</f>
        <v/>
      </c>
      <c r="B111" s="4"/>
      <c r="C111" s="13"/>
      <c r="D111" s="14"/>
      <c r="E111" s="14"/>
      <c r="F111" s="15"/>
      <c r="G111" s="16"/>
      <c r="H111" s="16"/>
      <c r="I111" s="17" t="str">
        <f aca="false">IF(OR(G111="",H111=""),"",H111-G111)</f>
        <v/>
      </c>
      <c r="J111" s="4"/>
      <c r="K111" s="4"/>
      <c r="L111" s="18" t="str">
        <f aca="false">IF(F111="","",IF(COUNTIF('DS XE - TAI XE'!$B$6:$B$505,F111)&gt;0,"✓ Có","Chưa có trong DS xe"))</f>
        <v/>
      </c>
    </row>
    <row r="112" customFormat="false" ht="15" hidden="false" customHeight="false" outlineLevel="0" collapsed="false">
      <c r="A112" s="12" t="str">
        <f aca="false">IF(F112="","",COUNTA($F$8:F112))</f>
        <v/>
      </c>
      <c r="B112" s="4"/>
      <c r="C112" s="13"/>
      <c r="D112" s="14"/>
      <c r="E112" s="14"/>
      <c r="F112" s="15"/>
      <c r="G112" s="16"/>
      <c r="H112" s="16"/>
      <c r="I112" s="17" t="str">
        <f aca="false">IF(OR(G112="",H112=""),"",H112-G112)</f>
        <v/>
      </c>
      <c r="J112" s="4"/>
      <c r="K112" s="4"/>
      <c r="L112" s="18" t="str">
        <f aca="false">IF(F112="","",IF(COUNTIF('DS XE - TAI XE'!$B$6:$B$505,F112)&gt;0,"✓ Có","Chưa có trong DS xe"))</f>
        <v/>
      </c>
    </row>
    <row r="113" customFormat="false" ht="15" hidden="false" customHeight="false" outlineLevel="0" collapsed="false">
      <c r="A113" s="12" t="str">
        <f aca="false">IF(F113="","",COUNTA($F$8:F113))</f>
        <v/>
      </c>
      <c r="B113" s="4"/>
      <c r="C113" s="13"/>
      <c r="D113" s="14"/>
      <c r="E113" s="14"/>
      <c r="F113" s="15"/>
      <c r="G113" s="16"/>
      <c r="H113" s="16"/>
      <c r="I113" s="17" t="str">
        <f aca="false">IF(OR(G113="",H113=""),"",H113-G113)</f>
        <v/>
      </c>
      <c r="J113" s="4"/>
      <c r="K113" s="4"/>
      <c r="L113" s="18" t="str">
        <f aca="false">IF(F113="","",IF(COUNTIF('DS XE - TAI XE'!$B$6:$B$505,F113)&gt;0,"✓ Có","Chưa có trong DS xe"))</f>
        <v/>
      </c>
    </row>
    <row r="114" customFormat="false" ht="15" hidden="false" customHeight="false" outlineLevel="0" collapsed="false">
      <c r="A114" s="12" t="str">
        <f aca="false">IF(F114="","",COUNTA($F$8:F114))</f>
        <v/>
      </c>
      <c r="B114" s="4"/>
      <c r="C114" s="13"/>
      <c r="D114" s="14"/>
      <c r="E114" s="14"/>
      <c r="F114" s="15"/>
      <c r="G114" s="16"/>
      <c r="H114" s="16"/>
      <c r="I114" s="17" t="str">
        <f aca="false">IF(OR(G114="",H114=""),"",H114-G114)</f>
        <v/>
      </c>
      <c r="J114" s="4"/>
      <c r="K114" s="4"/>
      <c r="L114" s="18" t="str">
        <f aca="false">IF(F114="","",IF(COUNTIF('DS XE - TAI XE'!$B$6:$B$505,F114)&gt;0,"✓ Có","Chưa có trong DS xe"))</f>
        <v/>
      </c>
    </row>
    <row r="115" customFormat="false" ht="15" hidden="false" customHeight="false" outlineLevel="0" collapsed="false">
      <c r="A115" s="12" t="str">
        <f aca="false">IF(F115="","",COUNTA($F$8:F115))</f>
        <v/>
      </c>
      <c r="B115" s="4"/>
      <c r="C115" s="13"/>
      <c r="D115" s="14"/>
      <c r="E115" s="14"/>
      <c r="F115" s="15"/>
      <c r="G115" s="16"/>
      <c r="H115" s="16"/>
      <c r="I115" s="17" t="str">
        <f aca="false">IF(OR(G115="",H115=""),"",H115-G115)</f>
        <v/>
      </c>
      <c r="J115" s="4"/>
      <c r="K115" s="4"/>
      <c r="L115" s="18" t="str">
        <f aca="false">IF(F115="","",IF(COUNTIF('DS XE - TAI XE'!$B$6:$B$505,F115)&gt;0,"✓ Có","Chưa có trong DS xe"))</f>
        <v/>
      </c>
    </row>
    <row r="116" customFormat="false" ht="15" hidden="false" customHeight="false" outlineLevel="0" collapsed="false">
      <c r="A116" s="12" t="str">
        <f aca="false">IF(F116="","",COUNTA($F$8:F116))</f>
        <v/>
      </c>
      <c r="B116" s="4"/>
      <c r="C116" s="13"/>
      <c r="D116" s="14"/>
      <c r="E116" s="14"/>
      <c r="F116" s="15"/>
      <c r="G116" s="16"/>
      <c r="H116" s="16"/>
      <c r="I116" s="17" t="str">
        <f aca="false">IF(OR(G116="",H116=""),"",H116-G116)</f>
        <v/>
      </c>
      <c r="J116" s="4"/>
      <c r="K116" s="4"/>
      <c r="L116" s="18" t="str">
        <f aca="false">IF(F116="","",IF(COUNTIF('DS XE - TAI XE'!$B$6:$B$505,F116)&gt;0,"✓ Có","Chưa có trong DS xe"))</f>
        <v/>
      </c>
    </row>
    <row r="117" customFormat="false" ht="15" hidden="false" customHeight="false" outlineLevel="0" collapsed="false">
      <c r="A117" s="12" t="str">
        <f aca="false">IF(F117="","",COUNTA($F$8:F117))</f>
        <v/>
      </c>
      <c r="B117" s="4"/>
      <c r="C117" s="13"/>
      <c r="D117" s="14"/>
      <c r="E117" s="14"/>
      <c r="F117" s="15"/>
      <c r="G117" s="16"/>
      <c r="H117" s="16"/>
      <c r="I117" s="17" t="str">
        <f aca="false">IF(OR(G117="",H117=""),"",H117-G117)</f>
        <v/>
      </c>
      <c r="J117" s="4"/>
      <c r="K117" s="4"/>
      <c r="L117" s="18" t="str">
        <f aca="false">IF(F117="","",IF(COUNTIF('DS XE - TAI XE'!$B$6:$B$505,F117)&gt;0,"✓ Có","Chưa có trong DS xe"))</f>
        <v/>
      </c>
    </row>
    <row r="118" customFormat="false" ht="15" hidden="false" customHeight="false" outlineLevel="0" collapsed="false">
      <c r="A118" s="12" t="str">
        <f aca="false">IF(F118="","",COUNTA($F$8:F118))</f>
        <v/>
      </c>
      <c r="B118" s="4"/>
      <c r="C118" s="13"/>
      <c r="D118" s="14"/>
      <c r="E118" s="14"/>
      <c r="F118" s="15"/>
      <c r="G118" s="16"/>
      <c r="H118" s="16"/>
      <c r="I118" s="17" t="str">
        <f aca="false">IF(OR(G118="",H118=""),"",H118-G118)</f>
        <v/>
      </c>
      <c r="J118" s="4"/>
      <c r="K118" s="4"/>
      <c r="L118" s="18" t="str">
        <f aca="false">IF(F118="","",IF(COUNTIF('DS XE - TAI XE'!$B$6:$B$505,F118)&gt;0,"✓ Có","Chưa có trong DS xe"))</f>
        <v/>
      </c>
    </row>
    <row r="119" customFormat="false" ht="15" hidden="false" customHeight="false" outlineLevel="0" collapsed="false">
      <c r="A119" s="12" t="str">
        <f aca="false">IF(F119="","",COUNTA($F$8:F119))</f>
        <v/>
      </c>
      <c r="B119" s="4"/>
      <c r="C119" s="13"/>
      <c r="D119" s="14"/>
      <c r="E119" s="14"/>
      <c r="F119" s="15"/>
      <c r="G119" s="16"/>
      <c r="H119" s="16"/>
      <c r="I119" s="17" t="str">
        <f aca="false">IF(OR(G119="",H119=""),"",H119-G119)</f>
        <v/>
      </c>
      <c r="J119" s="4"/>
      <c r="K119" s="4"/>
      <c r="L119" s="18" t="str">
        <f aca="false">IF(F119="","",IF(COUNTIF('DS XE - TAI XE'!$B$6:$B$505,F119)&gt;0,"✓ Có","Chưa có trong DS xe"))</f>
        <v/>
      </c>
    </row>
    <row r="120" customFormat="false" ht="15" hidden="false" customHeight="false" outlineLevel="0" collapsed="false">
      <c r="A120" s="12" t="str">
        <f aca="false">IF(F120="","",COUNTA($F$8:F120))</f>
        <v/>
      </c>
      <c r="B120" s="4"/>
      <c r="C120" s="13"/>
      <c r="D120" s="14"/>
      <c r="E120" s="14"/>
      <c r="F120" s="15"/>
      <c r="G120" s="16"/>
      <c r="H120" s="16"/>
      <c r="I120" s="17" t="str">
        <f aca="false">IF(OR(G120="",H120=""),"",H120-G120)</f>
        <v/>
      </c>
      <c r="J120" s="4"/>
      <c r="K120" s="4"/>
      <c r="L120" s="18" t="str">
        <f aca="false">IF(F120="","",IF(COUNTIF('DS XE - TAI XE'!$B$6:$B$505,F120)&gt;0,"✓ Có","Chưa có trong DS xe"))</f>
        <v/>
      </c>
    </row>
    <row r="121" customFormat="false" ht="15" hidden="false" customHeight="false" outlineLevel="0" collapsed="false">
      <c r="A121" s="12" t="str">
        <f aca="false">IF(F121="","",COUNTA($F$8:F121))</f>
        <v/>
      </c>
      <c r="B121" s="4"/>
      <c r="C121" s="13"/>
      <c r="D121" s="14"/>
      <c r="E121" s="14"/>
      <c r="F121" s="15"/>
      <c r="G121" s="16"/>
      <c r="H121" s="16"/>
      <c r="I121" s="17" t="str">
        <f aca="false">IF(OR(G121="",H121=""),"",H121-G121)</f>
        <v/>
      </c>
      <c r="J121" s="4"/>
      <c r="K121" s="4"/>
      <c r="L121" s="18" t="str">
        <f aca="false">IF(F121="","",IF(COUNTIF('DS XE - TAI XE'!$B$6:$B$505,F121)&gt;0,"✓ Có","Chưa có trong DS xe"))</f>
        <v/>
      </c>
    </row>
    <row r="122" customFormat="false" ht="15" hidden="false" customHeight="false" outlineLevel="0" collapsed="false">
      <c r="A122" s="12" t="str">
        <f aca="false">IF(F122="","",COUNTA($F$8:F122))</f>
        <v/>
      </c>
      <c r="B122" s="4"/>
      <c r="C122" s="13"/>
      <c r="D122" s="14"/>
      <c r="E122" s="14"/>
      <c r="F122" s="15"/>
      <c r="G122" s="16"/>
      <c r="H122" s="16"/>
      <c r="I122" s="17" t="str">
        <f aca="false">IF(OR(G122="",H122=""),"",H122-G122)</f>
        <v/>
      </c>
      <c r="J122" s="4"/>
      <c r="K122" s="4"/>
      <c r="L122" s="18" t="str">
        <f aca="false">IF(F122="","",IF(COUNTIF('DS XE - TAI XE'!$B$6:$B$505,F122)&gt;0,"✓ Có","Chưa có trong DS xe"))</f>
        <v/>
      </c>
    </row>
    <row r="123" customFormat="false" ht="15" hidden="false" customHeight="false" outlineLevel="0" collapsed="false">
      <c r="A123" s="12" t="str">
        <f aca="false">IF(F123="","",COUNTA($F$8:F123))</f>
        <v/>
      </c>
      <c r="B123" s="4"/>
      <c r="C123" s="13"/>
      <c r="D123" s="14"/>
      <c r="E123" s="14"/>
      <c r="F123" s="15"/>
      <c r="G123" s="16"/>
      <c r="H123" s="16"/>
      <c r="I123" s="17" t="str">
        <f aca="false">IF(OR(G123="",H123=""),"",H123-G123)</f>
        <v/>
      </c>
      <c r="J123" s="4"/>
      <c r="K123" s="4"/>
      <c r="L123" s="18" t="str">
        <f aca="false">IF(F123="","",IF(COUNTIF('DS XE - TAI XE'!$B$6:$B$505,F123)&gt;0,"✓ Có","Chưa có trong DS xe"))</f>
        <v/>
      </c>
    </row>
    <row r="124" customFormat="false" ht="15" hidden="false" customHeight="false" outlineLevel="0" collapsed="false">
      <c r="A124" s="12" t="str">
        <f aca="false">IF(F124="","",COUNTA($F$8:F124))</f>
        <v/>
      </c>
      <c r="B124" s="4"/>
      <c r="C124" s="13"/>
      <c r="D124" s="14"/>
      <c r="E124" s="14"/>
      <c r="F124" s="15"/>
      <c r="G124" s="16"/>
      <c r="H124" s="16"/>
      <c r="I124" s="17" t="str">
        <f aca="false">IF(OR(G124="",H124=""),"",H124-G124)</f>
        <v/>
      </c>
      <c r="J124" s="4"/>
      <c r="K124" s="4"/>
      <c r="L124" s="18" t="str">
        <f aca="false">IF(F124="","",IF(COUNTIF('DS XE - TAI XE'!$B$6:$B$505,F124)&gt;0,"✓ Có","Chưa có trong DS xe"))</f>
        <v/>
      </c>
    </row>
    <row r="125" customFormat="false" ht="15" hidden="false" customHeight="false" outlineLevel="0" collapsed="false">
      <c r="A125" s="12" t="str">
        <f aca="false">IF(F125="","",COUNTA($F$8:F125))</f>
        <v/>
      </c>
      <c r="B125" s="4"/>
      <c r="C125" s="13"/>
      <c r="D125" s="14"/>
      <c r="E125" s="14"/>
      <c r="F125" s="15"/>
      <c r="G125" s="16"/>
      <c r="H125" s="16"/>
      <c r="I125" s="17" t="str">
        <f aca="false">IF(OR(G125="",H125=""),"",H125-G125)</f>
        <v/>
      </c>
      <c r="J125" s="4"/>
      <c r="K125" s="4"/>
      <c r="L125" s="18" t="str">
        <f aca="false">IF(F125="","",IF(COUNTIF('DS XE - TAI XE'!$B$6:$B$505,F125)&gt;0,"✓ Có","Chưa có trong DS xe"))</f>
        <v/>
      </c>
    </row>
    <row r="126" customFormat="false" ht="15" hidden="false" customHeight="false" outlineLevel="0" collapsed="false">
      <c r="A126" s="12" t="str">
        <f aca="false">IF(F126="","",COUNTA($F$8:F126))</f>
        <v/>
      </c>
      <c r="B126" s="4"/>
      <c r="C126" s="13"/>
      <c r="D126" s="14"/>
      <c r="E126" s="14"/>
      <c r="F126" s="15"/>
      <c r="G126" s="16"/>
      <c r="H126" s="16"/>
      <c r="I126" s="17" t="str">
        <f aca="false">IF(OR(G126="",H126=""),"",H126-G126)</f>
        <v/>
      </c>
      <c r="J126" s="4"/>
      <c r="K126" s="4"/>
      <c r="L126" s="18" t="str">
        <f aca="false">IF(F126="","",IF(COUNTIF('DS XE - TAI XE'!$B$6:$B$505,F126)&gt;0,"✓ Có","Chưa có trong DS xe"))</f>
        <v/>
      </c>
    </row>
    <row r="127" customFormat="false" ht="15" hidden="false" customHeight="false" outlineLevel="0" collapsed="false">
      <c r="A127" s="12" t="str">
        <f aca="false">IF(F127="","",COUNTA($F$8:F127))</f>
        <v/>
      </c>
      <c r="B127" s="4"/>
      <c r="C127" s="13"/>
      <c r="D127" s="14"/>
      <c r="E127" s="14"/>
      <c r="F127" s="15"/>
      <c r="G127" s="16"/>
      <c r="H127" s="16"/>
      <c r="I127" s="17" t="str">
        <f aca="false">IF(OR(G127="",H127=""),"",H127-G127)</f>
        <v/>
      </c>
      <c r="J127" s="4"/>
      <c r="K127" s="4"/>
      <c r="L127" s="18" t="str">
        <f aca="false">IF(F127="","",IF(COUNTIF('DS XE - TAI XE'!$B$6:$B$505,F127)&gt;0,"✓ Có","Chưa có trong DS xe"))</f>
        <v/>
      </c>
    </row>
    <row r="128" customFormat="false" ht="15" hidden="false" customHeight="false" outlineLevel="0" collapsed="false">
      <c r="A128" s="12" t="str">
        <f aca="false">IF(F128="","",COUNTA($F$8:F128))</f>
        <v/>
      </c>
      <c r="B128" s="4"/>
      <c r="C128" s="13"/>
      <c r="D128" s="14"/>
      <c r="E128" s="14"/>
      <c r="F128" s="15"/>
      <c r="G128" s="16"/>
      <c r="H128" s="16"/>
      <c r="I128" s="17" t="str">
        <f aca="false">IF(OR(G128="",H128=""),"",H128-G128)</f>
        <v/>
      </c>
      <c r="J128" s="4"/>
      <c r="K128" s="4"/>
      <c r="L128" s="18" t="str">
        <f aca="false">IF(F128="","",IF(COUNTIF('DS XE - TAI XE'!$B$6:$B$505,F128)&gt;0,"✓ Có","Chưa có trong DS xe"))</f>
        <v/>
      </c>
    </row>
    <row r="129" customFormat="false" ht="15" hidden="false" customHeight="false" outlineLevel="0" collapsed="false">
      <c r="A129" s="12" t="str">
        <f aca="false">IF(F129="","",COUNTA($F$8:F129))</f>
        <v/>
      </c>
      <c r="B129" s="4"/>
      <c r="C129" s="13"/>
      <c r="D129" s="14"/>
      <c r="E129" s="14"/>
      <c r="F129" s="15"/>
      <c r="G129" s="16"/>
      <c r="H129" s="16"/>
      <c r="I129" s="17" t="str">
        <f aca="false">IF(OR(G129="",H129=""),"",H129-G129)</f>
        <v/>
      </c>
      <c r="J129" s="4"/>
      <c r="K129" s="4"/>
      <c r="L129" s="18" t="str">
        <f aca="false">IF(F129="","",IF(COUNTIF('DS XE - TAI XE'!$B$6:$B$505,F129)&gt;0,"✓ Có","Chưa có trong DS xe"))</f>
        <v/>
      </c>
    </row>
    <row r="130" customFormat="false" ht="15" hidden="false" customHeight="false" outlineLevel="0" collapsed="false">
      <c r="A130" s="12" t="str">
        <f aca="false">IF(F130="","",COUNTA($F$8:F130))</f>
        <v/>
      </c>
      <c r="B130" s="4"/>
      <c r="C130" s="13"/>
      <c r="D130" s="14"/>
      <c r="E130" s="14"/>
      <c r="F130" s="15"/>
      <c r="G130" s="16"/>
      <c r="H130" s="16"/>
      <c r="I130" s="17" t="str">
        <f aca="false">IF(OR(G130="",H130=""),"",H130-G130)</f>
        <v/>
      </c>
      <c r="J130" s="4"/>
      <c r="K130" s="4"/>
      <c r="L130" s="18" t="str">
        <f aca="false">IF(F130="","",IF(COUNTIF('DS XE - TAI XE'!$B$6:$B$505,F130)&gt;0,"✓ Có","Chưa có trong DS xe"))</f>
        <v/>
      </c>
    </row>
    <row r="131" customFormat="false" ht="15" hidden="false" customHeight="false" outlineLevel="0" collapsed="false">
      <c r="A131" s="12" t="str">
        <f aca="false">IF(F131="","",COUNTA($F$8:F131))</f>
        <v/>
      </c>
      <c r="B131" s="4"/>
      <c r="C131" s="13"/>
      <c r="D131" s="14"/>
      <c r="E131" s="14"/>
      <c r="F131" s="15"/>
      <c r="G131" s="16"/>
      <c r="H131" s="16"/>
      <c r="I131" s="17" t="str">
        <f aca="false">IF(OR(G131="",H131=""),"",H131-G131)</f>
        <v/>
      </c>
      <c r="J131" s="4"/>
      <c r="K131" s="4"/>
      <c r="L131" s="18" t="str">
        <f aca="false">IF(F131="","",IF(COUNTIF('DS XE - TAI XE'!$B$6:$B$505,F131)&gt;0,"✓ Có","Chưa có trong DS xe"))</f>
        <v/>
      </c>
    </row>
    <row r="132" customFormat="false" ht="15" hidden="false" customHeight="false" outlineLevel="0" collapsed="false">
      <c r="A132" s="12" t="str">
        <f aca="false">IF(F132="","",COUNTA($F$8:F132))</f>
        <v/>
      </c>
      <c r="B132" s="4"/>
      <c r="C132" s="13"/>
      <c r="D132" s="14"/>
      <c r="E132" s="14"/>
      <c r="F132" s="15"/>
      <c r="G132" s="16"/>
      <c r="H132" s="16"/>
      <c r="I132" s="17" t="str">
        <f aca="false">IF(OR(G132="",H132=""),"",H132-G132)</f>
        <v/>
      </c>
      <c r="J132" s="4"/>
      <c r="K132" s="4"/>
      <c r="L132" s="18" t="str">
        <f aca="false">IF(F132="","",IF(COUNTIF('DS XE - TAI XE'!$B$6:$B$505,F132)&gt;0,"✓ Có","Chưa có trong DS xe"))</f>
        <v/>
      </c>
    </row>
    <row r="133" customFormat="false" ht="15" hidden="false" customHeight="false" outlineLevel="0" collapsed="false">
      <c r="A133" s="12" t="str">
        <f aca="false">IF(F133="","",COUNTA($F$8:F133))</f>
        <v/>
      </c>
      <c r="B133" s="4"/>
      <c r="C133" s="13"/>
      <c r="D133" s="14"/>
      <c r="E133" s="14"/>
      <c r="F133" s="15"/>
      <c r="G133" s="16"/>
      <c r="H133" s="16"/>
      <c r="I133" s="17" t="str">
        <f aca="false">IF(OR(G133="",H133=""),"",H133-G133)</f>
        <v/>
      </c>
      <c r="J133" s="4"/>
      <c r="K133" s="4"/>
      <c r="L133" s="18" t="str">
        <f aca="false">IF(F133="","",IF(COUNTIF('DS XE - TAI XE'!$B$6:$B$505,F133)&gt;0,"✓ Có","Chưa có trong DS xe"))</f>
        <v/>
      </c>
    </row>
    <row r="134" customFormat="false" ht="15" hidden="false" customHeight="false" outlineLevel="0" collapsed="false">
      <c r="A134" s="12" t="str">
        <f aca="false">IF(F134="","",COUNTA($F$8:F134))</f>
        <v/>
      </c>
      <c r="B134" s="4"/>
      <c r="C134" s="13"/>
      <c r="D134" s="14"/>
      <c r="E134" s="14"/>
      <c r="F134" s="15"/>
      <c r="G134" s="16"/>
      <c r="H134" s="16"/>
      <c r="I134" s="17" t="str">
        <f aca="false">IF(OR(G134="",H134=""),"",H134-G134)</f>
        <v/>
      </c>
      <c r="J134" s="4"/>
      <c r="K134" s="4"/>
      <c r="L134" s="18" t="str">
        <f aca="false">IF(F134="","",IF(COUNTIF('DS XE - TAI XE'!$B$6:$B$505,F134)&gt;0,"✓ Có","Chưa có trong DS xe"))</f>
        <v/>
      </c>
    </row>
    <row r="135" customFormat="false" ht="15" hidden="false" customHeight="false" outlineLevel="0" collapsed="false">
      <c r="A135" s="12" t="str">
        <f aca="false">IF(F135="","",COUNTA($F$8:F135))</f>
        <v/>
      </c>
      <c r="B135" s="4"/>
      <c r="C135" s="13"/>
      <c r="D135" s="14"/>
      <c r="E135" s="14"/>
      <c r="F135" s="15"/>
      <c r="G135" s="16"/>
      <c r="H135" s="16"/>
      <c r="I135" s="17" t="str">
        <f aca="false">IF(OR(G135="",H135=""),"",H135-G135)</f>
        <v/>
      </c>
      <c r="J135" s="4"/>
      <c r="K135" s="4"/>
      <c r="L135" s="18" t="str">
        <f aca="false">IF(F135="","",IF(COUNTIF('DS XE - TAI XE'!$B$6:$B$505,F135)&gt;0,"✓ Có","Chưa có trong DS xe"))</f>
        <v/>
      </c>
    </row>
    <row r="136" customFormat="false" ht="15" hidden="false" customHeight="false" outlineLevel="0" collapsed="false">
      <c r="A136" s="12" t="str">
        <f aca="false">IF(F136="","",COUNTA($F$8:F136))</f>
        <v/>
      </c>
      <c r="B136" s="4"/>
      <c r="C136" s="13"/>
      <c r="D136" s="14"/>
      <c r="E136" s="14"/>
      <c r="F136" s="15"/>
      <c r="G136" s="16"/>
      <c r="H136" s="16"/>
      <c r="I136" s="17" t="str">
        <f aca="false">IF(OR(G136="",H136=""),"",H136-G136)</f>
        <v/>
      </c>
      <c r="J136" s="4"/>
      <c r="K136" s="4"/>
      <c r="L136" s="18" t="str">
        <f aca="false">IF(F136="","",IF(COUNTIF('DS XE - TAI XE'!$B$6:$B$505,F136)&gt;0,"✓ Có","Chưa có trong DS xe"))</f>
        <v/>
      </c>
    </row>
    <row r="137" customFormat="false" ht="15" hidden="false" customHeight="false" outlineLevel="0" collapsed="false">
      <c r="A137" s="12" t="str">
        <f aca="false">IF(F137="","",COUNTA($F$8:F137))</f>
        <v/>
      </c>
      <c r="B137" s="4"/>
      <c r="C137" s="13"/>
      <c r="D137" s="14"/>
      <c r="E137" s="14"/>
      <c r="F137" s="15"/>
      <c r="G137" s="16"/>
      <c r="H137" s="16"/>
      <c r="I137" s="17" t="str">
        <f aca="false">IF(OR(G137="",H137=""),"",H137-G137)</f>
        <v/>
      </c>
      <c r="J137" s="4"/>
      <c r="K137" s="4"/>
      <c r="L137" s="18" t="str">
        <f aca="false">IF(F137="","",IF(COUNTIF('DS XE - TAI XE'!$B$6:$B$505,F137)&gt;0,"✓ Có","Chưa có trong DS xe"))</f>
        <v/>
      </c>
    </row>
    <row r="138" customFormat="false" ht="15" hidden="false" customHeight="false" outlineLevel="0" collapsed="false">
      <c r="A138" s="12" t="str">
        <f aca="false">IF(F138="","",COUNTA($F$8:F138))</f>
        <v/>
      </c>
      <c r="B138" s="4"/>
      <c r="C138" s="13"/>
      <c r="D138" s="14"/>
      <c r="E138" s="14"/>
      <c r="F138" s="15"/>
      <c r="G138" s="16"/>
      <c r="H138" s="16"/>
      <c r="I138" s="17" t="str">
        <f aca="false">IF(OR(G138="",H138=""),"",H138-G138)</f>
        <v/>
      </c>
      <c r="J138" s="4"/>
      <c r="K138" s="4"/>
      <c r="L138" s="18" t="str">
        <f aca="false">IF(F138="","",IF(COUNTIF('DS XE - TAI XE'!$B$6:$B$505,F138)&gt;0,"✓ Có","Chưa có trong DS xe"))</f>
        <v/>
      </c>
    </row>
    <row r="139" customFormat="false" ht="15" hidden="false" customHeight="false" outlineLevel="0" collapsed="false">
      <c r="A139" s="12" t="str">
        <f aca="false">IF(F139="","",COUNTA($F$8:F139))</f>
        <v/>
      </c>
      <c r="B139" s="4"/>
      <c r="C139" s="13"/>
      <c r="D139" s="14"/>
      <c r="E139" s="14"/>
      <c r="F139" s="15"/>
      <c r="G139" s="16"/>
      <c r="H139" s="16"/>
      <c r="I139" s="17" t="str">
        <f aca="false">IF(OR(G139="",H139=""),"",H139-G139)</f>
        <v/>
      </c>
      <c r="J139" s="4"/>
      <c r="K139" s="4"/>
      <c r="L139" s="18" t="str">
        <f aca="false">IF(F139="","",IF(COUNTIF('DS XE - TAI XE'!$B$6:$B$505,F139)&gt;0,"✓ Có","Chưa có trong DS xe"))</f>
        <v/>
      </c>
    </row>
    <row r="140" customFormat="false" ht="15" hidden="false" customHeight="false" outlineLevel="0" collapsed="false">
      <c r="A140" s="12" t="str">
        <f aca="false">IF(F140="","",COUNTA($F$8:F140))</f>
        <v/>
      </c>
      <c r="B140" s="4"/>
      <c r="C140" s="13"/>
      <c r="D140" s="14"/>
      <c r="E140" s="14"/>
      <c r="F140" s="15"/>
      <c r="G140" s="16"/>
      <c r="H140" s="16"/>
      <c r="I140" s="17" t="str">
        <f aca="false">IF(OR(G140="",H140=""),"",H140-G140)</f>
        <v/>
      </c>
      <c r="J140" s="4"/>
      <c r="K140" s="4"/>
      <c r="L140" s="18" t="str">
        <f aca="false">IF(F140="","",IF(COUNTIF('DS XE - TAI XE'!$B$6:$B$505,F140)&gt;0,"✓ Có","Chưa có trong DS xe"))</f>
        <v/>
      </c>
    </row>
    <row r="141" customFormat="false" ht="15" hidden="false" customHeight="false" outlineLevel="0" collapsed="false">
      <c r="A141" s="12" t="str">
        <f aca="false">IF(F141="","",COUNTA($F$8:F141))</f>
        <v/>
      </c>
      <c r="B141" s="4"/>
      <c r="C141" s="13"/>
      <c r="D141" s="14"/>
      <c r="E141" s="14"/>
      <c r="F141" s="15"/>
      <c r="G141" s="16"/>
      <c r="H141" s="16"/>
      <c r="I141" s="17" t="str">
        <f aca="false">IF(OR(G141="",H141=""),"",H141-G141)</f>
        <v/>
      </c>
      <c r="J141" s="4"/>
      <c r="K141" s="4"/>
      <c r="L141" s="18" t="str">
        <f aca="false">IF(F141="","",IF(COUNTIF('DS XE - TAI XE'!$B$6:$B$505,F141)&gt;0,"✓ Có","Chưa có trong DS xe"))</f>
        <v/>
      </c>
    </row>
    <row r="142" customFormat="false" ht="15" hidden="false" customHeight="false" outlineLevel="0" collapsed="false">
      <c r="A142" s="12" t="str">
        <f aca="false">IF(F142="","",COUNTA($F$8:F142))</f>
        <v/>
      </c>
      <c r="B142" s="4"/>
      <c r="C142" s="13"/>
      <c r="D142" s="14"/>
      <c r="E142" s="14"/>
      <c r="F142" s="15"/>
      <c r="G142" s="16"/>
      <c r="H142" s="16"/>
      <c r="I142" s="17" t="str">
        <f aca="false">IF(OR(G142="",H142=""),"",H142-G142)</f>
        <v/>
      </c>
      <c r="J142" s="4"/>
      <c r="K142" s="4"/>
      <c r="L142" s="18" t="str">
        <f aca="false">IF(F142="","",IF(COUNTIF('DS XE - TAI XE'!$B$6:$B$505,F142)&gt;0,"✓ Có","Chưa có trong DS xe"))</f>
        <v/>
      </c>
    </row>
    <row r="143" customFormat="false" ht="15" hidden="false" customHeight="false" outlineLevel="0" collapsed="false">
      <c r="A143" s="12" t="str">
        <f aca="false">IF(F143="","",COUNTA($F$8:F143))</f>
        <v/>
      </c>
      <c r="B143" s="4"/>
      <c r="C143" s="13"/>
      <c r="D143" s="14"/>
      <c r="E143" s="14"/>
      <c r="F143" s="15"/>
      <c r="G143" s="16"/>
      <c r="H143" s="16"/>
      <c r="I143" s="17" t="str">
        <f aca="false">IF(OR(G143="",H143=""),"",H143-G143)</f>
        <v/>
      </c>
      <c r="J143" s="4"/>
      <c r="K143" s="4"/>
      <c r="L143" s="18" t="str">
        <f aca="false">IF(F143="","",IF(COUNTIF('DS XE - TAI XE'!$B$6:$B$505,F143)&gt;0,"✓ Có","Chưa có trong DS xe"))</f>
        <v/>
      </c>
    </row>
    <row r="144" customFormat="false" ht="15" hidden="false" customHeight="false" outlineLevel="0" collapsed="false">
      <c r="A144" s="12" t="str">
        <f aca="false">IF(F144="","",COUNTA($F$8:F144))</f>
        <v/>
      </c>
      <c r="B144" s="4"/>
      <c r="C144" s="13"/>
      <c r="D144" s="14"/>
      <c r="E144" s="14"/>
      <c r="F144" s="15"/>
      <c r="G144" s="16"/>
      <c r="H144" s="16"/>
      <c r="I144" s="17" t="str">
        <f aca="false">IF(OR(G144="",H144=""),"",H144-G144)</f>
        <v/>
      </c>
      <c r="J144" s="4"/>
      <c r="K144" s="4"/>
      <c r="L144" s="18" t="str">
        <f aca="false">IF(F144="","",IF(COUNTIF('DS XE - TAI XE'!$B$6:$B$505,F144)&gt;0,"✓ Có","Chưa có trong DS xe"))</f>
        <v/>
      </c>
    </row>
    <row r="145" customFormat="false" ht="15" hidden="false" customHeight="false" outlineLevel="0" collapsed="false">
      <c r="A145" s="12" t="str">
        <f aca="false">IF(F145="","",COUNTA($F$8:F145))</f>
        <v/>
      </c>
      <c r="B145" s="4"/>
      <c r="C145" s="13"/>
      <c r="D145" s="14"/>
      <c r="E145" s="14"/>
      <c r="F145" s="15"/>
      <c r="G145" s="16"/>
      <c r="H145" s="16"/>
      <c r="I145" s="17" t="str">
        <f aca="false">IF(OR(G145="",H145=""),"",H145-G145)</f>
        <v/>
      </c>
      <c r="J145" s="4"/>
      <c r="K145" s="4"/>
      <c r="L145" s="18" t="str">
        <f aca="false">IF(F145="","",IF(COUNTIF('DS XE - TAI XE'!$B$6:$B$505,F145)&gt;0,"✓ Có","Chưa có trong DS xe"))</f>
        <v/>
      </c>
    </row>
    <row r="146" customFormat="false" ht="15" hidden="false" customHeight="false" outlineLevel="0" collapsed="false">
      <c r="A146" s="12" t="str">
        <f aca="false">IF(F146="","",COUNTA($F$8:F146))</f>
        <v/>
      </c>
      <c r="B146" s="4"/>
      <c r="C146" s="13"/>
      <c r="D146" s="14"/>
      <c r="E146" s="14"/>
      <c r="F146" s="15"/>
      <c r="G146" s="16"/>
      <c r="H146" s="16"/>
      <c r="I146" s="17" t="str">
        <f aca="false">IF(OR(G146="",H146=""),"",H146-G146)</f>
        <v/>
      </c>
      <c r="J146" s="4"/>
      <c r="K146" s="4"/>
      <c r="L146" s="18" t="str">
        <f aca="false">IF(F146="","",IF(COUNTIF('DS XE - TAI XE'!$B$6:$B$505,F146)&gt;0,"✓ Có","Chưa có trong DS xe"))</f>
        <v/>
      </c>
    </row>
    <row r="147" customFormat="false" ht="15" hidden="false" customHeight="false" outlineLevel="0" collapsed="false">
      <c r="A147" s="12" t="str">
        <f aca="false">IF(F147="","",COUNTA($F$8:F147))</f>
        <v/>
      </c>
      <c r="B147" s="4"/>
      <c r="C147" s="13"/>
      <c r="D147" s="14"/>
      <c r="E147" s="14"/>
      <c r="F147" s="15"/>
      <c r="G147" s="16"/>
      <c r="H147" s="16"/>
      <c r="I147" s="17" t="str">
        <f aca="false">IF(OR(G147="",H147=""),"",H147-G147)</f>
        <v/>
      </c>
      <c r="J147" s="4"/>
      <c r="K147" s="4"/>
      <c r="L147" s="18" t="str">
        <f aca="false">IF(F147="","",IF(COUNTIF('DS XE - TAI XE'!$B$6:$B$505,F147)&gt;0,"✓ Có","Chưa có trong DS xe"))</f>
        <v/>
      </c>
    </row>
    <row r="148" customFormat="false" ht="15" hidden="false" customHeight="false" outlineLevel="0" collapsed="false">
      <c r="A148" s="12" t="str">
        <f aca="false">IF(F148="","",COUNTA($F$8:F148))</f>
        <v/>
      </c>
      <c r="B148" s="4"/>
      <c r="C148" s="13"/>
      <c r="D148" s="14"/>
      <c r="E148" s="14"/>
      <c r="F148" s="15"/>
      <c r="G148" s="16"/>
      <c r="H148" s="16"/>
      <c r="I148" s="17" t="str">
        <f aca="false">IF(OR(G148="",H148=""),"",H148-G148)</f>
        <v/>
      </c>
      <c r="J148" s="4"/>
      <c r="K148" s="4"/>
      <c r="L148" s="18" t="str">
        <f aca="false">IF(F148="","",IF(COUNTIF('DS XE - TAI XE'!$B$6:$B$505,F148)&gt;0,"✓ Có","Chưa có trong DS xe"))</f>
        <v/>
      </c>
    </row>
    <row r="149" customFormat="false" ht="15" hidden="false" customHeight="false" outlineLevel="0" collapsed="false">
      <c r="A149" s="12" t="str">
        <f aca="false">IF(F149="","",COUNTA($F$8:F149))</f>
        <v/>
      </c>
      <c r="B149" s="4"/>
      <c r="C149" s="13"/>
      <c r="D149" s="14"/>
      <c r="E149" s="14"/>
      <c r="F149" s="15"/>
      <c r="G149" s="16"/>
      <c r="H149" s="16"/>
      <c r="I149" s="17" t="str">
        <f aca="false">IF(OR(G149="",H149=""),"",H149-G149)</f>
        <v/>
      </c>
      <c r="J149" s="4"/>
      <c r="K149" s="4"/>
      <c r="L149" s="18" t="str">
        <f aca="false">IF(F149="","",IF(COUNTIF('DS XE - TAI XE'!$B$6:$B$505,F149)&gt;0,"✓ Có","Chưa có trong DS xe"))</f>
        <v/>
      </c>
    </row>
    <row r="150" customFormat="false" ht="15" hidden="false" customHeight="false" outlineLevel="0" collapsed="false">
      <c r="A150" s="12" t="str">
        <f aca="false">IF(F150="","",COUNTA($F$8:F150))</f>
        <v/>
      </c>
      <c r="B150" s="4"/>
      <c r="C150" s="13"/>
      <c r="D150" s="14"/>
      <c r="E150" s="14"/>
      <c r="F150" s="15"/>
      <c r="G150" s="16"/>
      <c r="H150" s="16"/>
      <c r="I150" s="17" t="str">
        <f aca="false">IF(OR(G150="",H150=""),"",H150-G150)</f>
        <v/>
      </c>
      <c r="J150" s="4"/>
      <c r="K150" s="4"/>
      <c r="L150" s="18" t="str">
        <f aca="false">IF(F150="","",IF(COUNTIF('DS XE - TAI XE'!$B$6:$B$505,F150)&gt;0,"✓ Có","Chưa có trong DS xe"))</f>
        <v/>
      </c>
    </row>
    <row r="151" customFormat="false" ht="15" hidden="false" customHeight="false" outlineLevel="0" collapsed="false">
      <c r="A151" s="12" t="str">
        <f aca="false">IF(F151="","",COUNTA($F$8:F151))</f>
        <v/>
      </c>
      <c r="B151" s="4"/>
      <c r="C151" s="13"/>
      <c r="D151" s="14"/>
      <c r="E151" s="14"/>
      <c r="F151" s="15"/>
      <c r="G151" s="16"/>
      <c r="H151" s="16"/>
      <c r="I151" s="17" t="str">
        <f aca="false">IF(OR(G151="",H151=""),"",H151-G151)</f>
        <v/>
      </c>
      <c r="J151" s="4"/>
      <c r="K151" s="4"/>
      <c r="L151" s="18" t="str">
        <f aca="false">IF(F151="","",IF(COUNTIF('DS XE - TAI XE'!$B$6:$B$505,F151)&gt;0,"✓ Có","Chưa có trong DS xe"))</f>
        <v/>
      </c>
    </row>
    <row r="152" customFormat="false" ht="15" hidden="false" customHeight="false" outlineLevel="0" collapsed="false">
      <c r="A152" s="12" t="str">
        <f aca="false">IF(F152="","",COUNTA($F$8:F152))</f>
        <v/>
      </c>
      <c r="B152" s="4"/>
      <c r="C152" s="13"/>
      <c r="D152" s="14"/>
      <c r="E152" s="14"/>
      <c r="F152" s="15"/>
      <c r="G152" s="16"/>
      <c r="H152" s="16"/>
      <c r="I152" s="17" t="str">
        <f aca="false">IF(OR(G152="",H152=""),"",H152-G152)</f>
        <v/>
      </c>
      <c r="J152" s="4"/>
      <c r="K152" s="4"/>
      <c r="L152" s="18" t="str">
        <f aca="false">IF(F152="","",IF(COUNTIF('DS XE - TAI XE'!$B$6:$B$505,F152)&gt;0,"✓ Có","Chưa có trong DS xe"))</f>
        <v/>
      </c>
    </row>
    <row r="153" customFormat="false" ht="15" hidden="false" customHeight="false" outlineLevel="0" collapsed="false">
      <c r="A153" s="12" t="str">
        <f aca="false">IF(F153="","",COUNTA($F$8:F153))</f>
        <v/>
      </c>
      <c r="B153" s="4"/>
      <c r="C153" s="13"/>
      <c r="D153" s="14"/>
      <c r="E153" s="14"/>
      <c r="F153" s="15"/>
      <c r="G153" s="16"/>
      <c r="H153" s="16"/>
      <c r="I153" s="17" t="str">
        <f aca="false">IF(OR(G153="",H153=""),"",H153-G153)</f>
        <v/>
      </c>
      <c r="J153" s="4"/>
      <c r="K153" s="4"/>
      <c r="L153" s="18" t="str">
        <f aca="false">IF(F153="","",IF(COUNTIF('DS XE - TAI XE'!$B$6:$B$505,F153)&gt;0,"✓ Có","Chưa có trong DS xe"))</f>
        <v/>
      </c>
    </row>
    <row r="154" customFormat="false" ht="15" hidden="false" customHeight="false" outlineLevel="0" collapsed="false">
      <c r="A154" s="12" t="str">
        <f aca="false">IF(F154="","",COUNTA($F$8:F154))</f>
        <v/>
      </c>
      <c r="B154" s="4"/>
      <c r="C154" s="13"/>
      <c r="D154" s="14"/>
      <c r="E154" s="14"/>
      <c r="F154" s="15"/>
      <c r="G154" s="16"/>
      <c r="H154" s="16"/>
      <c r="I154" s="17" t="str">
        <f aca="false">IF(OR(G154="",H154=""),"",H154-G154)</f>
        <v/>
      </c>
      <c r="J154" s="4"/>
      <c r="K154" s="4"/>
      <c r="L154" s="18" t="str">
        <f aca="false">IF(F154="","",IF(COUNTIF('DS XE - TAI XE'!$B$6:$B$505,F154)&gt;0,"✓ Có","Chưa có trong DS xe"))</f>
        <v/>
      </c>
    </row>
    <row r="155" customFormat="false" ht="15" hidden="false" customHeight="false" outlineLevel="0" collapsed="false">
      <c r="A155" s="12" t="str">
        <f aca="false">IF(F155="","",COUNTA($F$8:F155))</f>
        <v/>
      </c>
      <c r="B155" s="4"/>
      <c r="C155" s="13"/>
      <c r="D155" s="14"/>
      <c r="E155" s="14"/>
      <c r="F155" s="15"/>
      <c r="G155" s="16"/>
      <c r="H155" s="16"/>
      <c r="I155" s="17" t="str">
        <f aca="false">IF(OR(G155="",H155=""),"",H155-G155)</f>
        <v/>
      </c>
      <c r="J155" s="4"/>
      <c r="K155" s="4"/>
      <c r="L155" s="18" t="str">
        <f aca="false">IF(F155="","",IF(COUNTIF('DS XE - TAI XE'!$B$6:$B$505,F155)&gt;0,"✓ Có","Chưa có trong DS xe"))</f>
        <v/>
      </c>
    </row>
    <row r="156" customFormat="false" ht="15" hidden="false" customHeight="false" outlineLevel="0" collapsed="false">
      <c r="A156" s="12" t="str">
        <f aca="false">IF(F156="","",COUNTA($F$8:F156))</f>
        <v/>
      </c>
      <c r="B156" s="4"/>
      <c r="C156" s="13"/>
      <c r="D156" s="14"/>
      <c r="E156" s="14"/>
      <c r="F156" s="15"/>
      <c r="G156" s="16"/>
      <c r="H156" s="16"/>
      <c r="I156" s="17" t="str">
        <f aca="false">IF(OR(G156="",H156=""),"",H156-G156)</f>
        <v/>
      </c>
      <c r="J156" s="4"/>
      <c r="K156" s="4"/>
      <c r="L156" s="18" t="str">
        <f aca="false">IF(F156="","",IF(COUNTIF('DS XE - TAI XE'!$B$6:$B$505,F156)&gt;0,"✓ Có","Chưa có trong DS xe"))</f>
        <v/>
      </c>
    </row>
    <row r="157" customFormat="false" ht="15" hidden="false" customHeight="false" outlineLevel="0" collapsed="false">
      <c r="A157" s="12" t="str">
        <f aca="false">IF(F157="","",COUNTA($F$8:F157))</f>
        <v/>
      </c>
      <c r="B157" s="4"/>
      <c r="C157" s="13"/>
      <c r="D157" s="14"/>
      <c r="E157" s="14"/>
      <c r="F157" s="15"/>
      <c r="G157" s="16"/>
      <c r="H157" s="16"/>
      <c r="I157" s="17" t="str">
        <f aca="false">IF(OR(G157="",H157=""),"",H157-G157)</f>
        <v/>
      </c>
      <c r="J157" s="4"/>
      <c r="K157" s="4"/>
      <c r="L157" s="18" t="str">
        <f aca="false">IF(F157="","",IF(COUNTIF('DS XE - TAI XE'!$B$6:$B$505,F157)&gt;0,"✓ Có","Chưa có trong DS xe"))</f>
        <v/>
      </c>
    </row>
    <row r="158" customFormat="false" ht="15" hidden="false" customHeight="false" outlineLevel="0" collapsed="false">
      <c r="A158" s="12" t="str">
        <f aca="false">IF(F158="","",COUNTA($F$8:F158))</f>
        <v/>
      </c>
      <c r="B158" s="4"/>
      <c r="C158" s="13"/>
      <c r="D158" s="14"/>
      <c r="E158" s="14"/>
      <c r="F158" s="15"/>
      <c r="G158" s="16"/>
      <c r="H158" s="16"/>
      <c r="I158" s="17" t="str">
        <f aca="false">IF(OR(G158="",H158=""),"",H158-G158)</f>
        <v/>
      </c>
      <c r="J158" s="4"/>
      <c r="K158" s="4"/>
      <c r="L158" s="18" t="str">
        <f aca="false">IF(F158="","",IF(COUNTIF('DS XE - TAI XE'!$B$6:$B$505,F158)&gt;0,"✓ Có","Chưa có trong DS xe"))</f>
        <v/>
      </c>
    </row>
    <row r="159" customFormat="false" ht="15" hidden="false" customHeight="false" outlineLevel="0" collapsed="false">
      <c r="A159" s="12" t="str">
        <f aca="false">IF(F159="","",COUNTA($F$8:F159))</f>
        <v/>
      </c>
      <c r="B159" s="4"/>
      <c r="C159" s="13"/>
      <c r="D159" s="14"/>
      <c r="E159" s="14"/>
      <c r="F159" s="15"/>
      <c r="G159" s="16"/>
      <c r="H159" s="16"/>
      <c r="I159" s="17" t="str">
        <f aca="false">IF(OR(G159="",H159=""),"",H159-G159)</f>
        <v/>
      </c>
      <c r="J159" s="4"/>
      <c r="K159" s="4"/>
      <c r="L159" s="18" t="str">
        <f aca="false">IF(F159="","",IF(COUNTIF('DS XE - TAI XE'!$B$6:$B$505,F159)&gt;0,"✓ Có","Chưa có trong DS xe"))</f>
        <v/>
      </c>
    </row>
    <row r="160" customFormat="false" ht="15" hidden="false" customHeight="false" outlineLevel="0" collapsed="false">
      <c r="A160" s="12" t="str">
        <f aca="false">IF(F160="","",COUNTA($F$8:F160))</f>
        <v/>
      </c>
      <c r="B160" s="4"/>
      <c r="C160" s="13"/>
      <c r="D160" s="14"/>
      <c r="E160" s="14"/>
      <c r="F160" s="15"/>
      <c r="G160" s="16"/>
      <c r="H160" s="16"/>
      <c r="I160" s="17" t="str">
        <f aca="false">IF(OR(G160="",H160=""),"",H160-G160)</f>
        <v/>
      </c>
      <c r="J160" s="4"/>
      <c r="K160" s="4"/>
      <c r="L160" s="18" t="str">
        <f aca="false">IF(F160="","",IF(COUNTIF('DS XE - TAI XE'!$B$6:$B$505,F160)&gt;0,"✓ Có","Chưa có trong DS xe"))</f>
        <v/>
      </c>
    </row>
    <row r="161" customFormat="false" ht="15" hidden="false" customHeight="false" outlineLevel="0" collapsed="false">
      <c r="A161" s="12" t="str">
        <f aca="false">IF(F161="","",COUNTA($F$8:F161))</f>
        <v/>
      </c>
      <c r="B161" s="4"/>
      <c r="C161" s="13"/>
      <c r="D161" s="14"/>
      <c r="E161" s="14"/>
      <c r="F161" s="15"/>
      <c r="G161" s="16"/>
      <c r="H161" s="16"/>
      <c r="I161" s="17" t="str">
        <f aca="false">IF(OR(G161="",H161=""),"",H161-G161)</f>
        <v/>
      </c>
      <c r="J161" s="4"/>
      <c r="K161" s="4"/>
      <c r="L161" s="18" t="str">
        <f aca="false">IF(F161="","",IF(COUNTIF('DS XE - TAI XE'!$B$6:$B$505,F161)&gt;0,"✓ Có","Chưa có trong DS xe"))</f>
        <v/>
      </c>
    </row>
    <row r="162" customFormat="false" ht="15" hidden="false" customHeight="false" outlineLevel="0" collapsed="false">
      <c r="A162" s="12" t="str">
        <f aca="false">IF(F162="","",COUNTA($F$8:F162))</f>
        <v/>
      </c>
      <c r="B162" s="4"/>
      <c r="C162" s="13"/>
      <c r="D162" s="14"/>
      <c r="E162" s="14"/>
      <c r="F162" s="15"/>
      <c r="G162" s="16"/>
      <c r="H162" s="16"/>
      <c r="I162" s="17" t="str">
        <f aca="false">IF(OR(G162="",H162=""),"",H162-G162)</f>
        <v/>
      </c>
      <c r="J162" s="4"/>
      <c r="K162" s="4"/>
      <c r="L162" s="18" t="str">
        <f aca="false">IF(F162="","",IF(COUNTIF('DS XE - TAI XE'!$B$6:$B$505,F162)&gt;0,"✓ Có","Chưa có trong DS xe"))</f>
        <v/>
      </c>
    </row>
    <row r="163" customFormat="false" ht="15" hidden="false" customHeight="false" outlineLevel="0" collapsed="false">
      <c r="A163" s="12" t="str">
        <f aca="false">IF(F163="","",COUNTA($F$8:F163))</f>
        <v/>
      </c>
      <c r="B163" s="4"/>
      <c r="C163" s="13"/>
      <c r="D163" s="14"/>
      <c r="E163" s="14"/>
      <c r="F163" s="15"/>
      <c r="G163" s="16"/>
      <c r="H163" s="16"/>
      <c r="I163" s="17" t="str">
        <f aca="false">IF(OR(G163="",H163=""),"",H163-G163)</f>
        <v/>
      </c>
      <c r="J163" s="4"/>
      <c r="K163" s="4"/>
      <c r="L163" s="18" t="str">
        <f aca="false">IF(F163="","",IF(COUNTIF('DS XE - TAI XE'!$B$6:$B$505,F163)&gt;0,"✓ Có","Chưa có trong DS xe"))</f>
        <v/>
      </c>
    </row>
    <row r="164" customFormat="false" ht="15" hidden="false" customHeight="false" outlineLevel="0" collapsed="false">
      <c r="A164" s="12" t="str">
        <f aca="false">IF(F164="","",COUNTA($F$8:F164))</f>
        <v/>
      </c>
      <c r="B164" s="4"/>
      <c r="C164" s="13"/>
      <c r="D164" s="14"/>
      <c r="E164" s="14"/>
      <c r="F164" s="15"/>
      <c r="G164" s="16"/>
      <c r="H164" s="16"/>
      <c r="I164" s="17" t="str">
        <f aca="false">IF(OR(G164="",H164=""),"",H164-G164)</f>
        <v/>
      </c>
      <c r="J164" s="4"/>
      <c r="K164" s="4"/>
      <c r="L164" s="18" t="str">
        <f aca="false">IF(F164="","",IF(COUNTIF('DS XE - TAI XE'!$B$6:$B$505,F164)&gt;0,"✓ Có","Chưa có trong DS xe"))</f>
        <v/>
      </c>
    </row>
    <row r="165" customFormat="false" ht="15" hidden="false" customHeight="false" outlineLevel="0" collapsed="false">
      <c r="A165" s="12" t="str">
        <f aca="false">IF(F165="","",COUNTA($F$8:F165))</f>
        <v/>
      </c>
      <c r="B165" s="4"/>
      <c r="C165" s="13"/>
      <c r="D165" s="14"/>
      <c r="E165" s="14"/>
      <c r="F165" s="15"/>
      <c r="G165" s="16"/>
      <c r="H165" s="16"/>
      <c r="I165" s="17" t="str">
        <f aca="false">IF(OR(G165="",H165=""),"",H165-G165)</f>
        <v/>
      </c>
      <c r="J165" s="4"/>
      <c r="K165" s="4"/>
      <c r="L165" s="18" t="str">
        <f aca="false">IF(F165="","",IF(COUNTIF('DS XE - TAI XE'!$B$6:$B$505,F165)&gt;0,"✓ Có","Chưa có trong DS xe"))</f>
        <v/>
      </c>
    </row>
    <row r="166" customFormat="false" ht="15" hidden="false" customHeight="false" outlineLevel="0" collapsed="false">
      <c r="A166" s="12" t="str">
        <f aca="false">IF(F166="","",COUNTA($F$8:F166))</f>
        <v/>
      </c>
      <c r="B166" s="4"/>
      <c r="C166" s="13"/>
      <c r="D166" s="14"/>
      <c r="E166" s="14"/>
      <c r="F166" s="15"/>
      <c r="G166" s="16"/>
      <c r="H166" s="16"/>
      <c r="I166" s="17" t="str">
        <f aca="false">IF(OR(G166="",H166=""),"",H166-G166)</f>
        <v/>
      </c>
      <c r="J166" s="4"/>
      <c r="K166" s="4"/>
      <c r="L166" s="18" t="str">
        <f aca="false">IF(F166="","",IF(COUNTIF('DS XE - TAI XE'!$B$6:$B$505,F166)&gt;0,"✓ Có","Chưa có trong DS xe"))</f>
        <v/>
      </c>
    </row>
    <row r="167" customFormat="false" ht="15" hidden="false" customHeight="false" outlineLevel="0" collapsed="false">
      <c r="A167" s="12" t="str">
        <f aca="false">IF(F167="","",COUNTA($F$8:F167))</f>
        <v/>
      </c>
      <c r="B167" s="4"/>
      <c r="C167" s="13"/>
      <c r="D167" s="14"/>
      <c r="E167" s="14"/>
      <c r="F167" s="15"/>
      <c r="G167" s="16"/>
      <c r="H167" s="16"/>
      <c r="I167" s="17" t="str">
        <f aca="false">IF(OR(G167="",H167=""),"",H167-G167)</f>
        <v/>
      </c>
      <c r="J167" s="4"/>
      <c r="K167" s="4"/>
      <c r="L167" s="18" t="str">
        <f aca="false">IF(F167="","",IF(COUNTIF('DS XE - TAI XE'!$B$6:$B$505,F167)&gt;0,"✓ Có","Chưa có trong DS xe"))</f>
        <v/>
      </c>
    </row>
    <row r="168" customFormat="false" ht="15" hidden="false" customHeight="false" outlineLevel="0" collapsed="false">
      <c r="A168" s="12" t="str">
        <f aca="false">IF(F168="","",COUNTA($F$8:F168))</f>
        <v/>
      </c>
      <c r="B168" s="4"/>
      <c r="C168" s="13"/>
      <c r="D168" s="14"/>
      <c r="E168" s="14"/>
      <c r="F168" s="15"/>
      <c r="G168" s="16"/>
      <c r="H168" s="16"/>
      <c r="I168" s="17" t="str">
        <f aca="false">IF(OR(G168="",H168=""),"",H168-G168)</f>
        <v/>
      </c>
      <c r="J168" s="4"/>
      <c r="K168" s="4"/>
      <c r="L168" s="18" t="str">
        <f aca="false">IF(F168="","",IF(COUNTIF('DS XE - TAI XE'!$B$6:$B$505,F168)&gt;0,"✓ Có","Chưa có trong DS xe"))</f>
        <v/>
      </c>
    </row>
    <row r="169" customFormat="false" ht="15" hidden="false" customHeight="false" outlineLevel="0" collapsed="false">
      <c r="A169" s="12" t="str">
        <f aca="false">IF(F169="","",COUNTA($F$8:F169))</f>
        <v/>
      </c>
      <c r="B169" s="4"/>
      <c r="C169" s="13"/>
      <c r="D169" s="14"/>
      <c r="E169" s="14"/>
      <c r="F169" s="15"/>
      <c r="G169" s="16"/>
      <c r="H169" s="16"/>
      <c r="I169" s="17" t="str">
        <f aca="false">IF(OR(G169="",H169=""),"",H169-G169)</f>
        <v/>
      </c>
      <c r="J169" s="4"/>
      <c r="K169" s="4"/>
      <c r="L169" s="18" t="str">
        <f aca="false">IF(F169="","",IF(COUNTIF('DS XE - TAI XE'!$B$6:$B$505,F169)&gt;0,"✓ Có","Chưa có trong DS xe"))</f>
        <v/>
      </c>
    </row>
    <row r="170" customFormat="false" ht="15" hidden="false" customHeight="false" outlineLevel="0" collapsed="false">
      <c r="A170" s="12" t="str">
        <f aca="false">IF(F170="","",COUNTA($F$8:F170))</f>
        <v/>
      </c>
      <c r="B170" s="4"/>
      <c r="C170" s="13"/>
      <c r="D170" s="14"/>
      <c r="E170" s="14"/>
      <c r="F170" s="15"/>
      <c r="G170" s="16"/>
      <c r="H170" s="16"/>
      <c r="I170" s="17" t="str">
        <f aca="false">IF(OR(G170="",H170=""),"",H170-G170)</f>
        <v/>
      </c>
      <c r="J170" s="4"/>
      <c r="K170" s="4"/>
      <c r="L170" s="18" t="str">
        <f aca="false">IF(F170="","",IF(COUNTIF('DS XE - TAI XE'!$B$6:$B$505,F170)&gt;0,"✓ Có","Chưa có trong DS xe"))</f>
        <v/>
      </c>
    </row>
    <row r="171" customFormat="false" ht="15" hidden="false" customHeight="false" outlineLevel="0" collapsed="false">
      <c r="A171" s="12" t="str">
        <f aca="false">IF(F171="","",COUNTA($F$8:F171))</f>
        <v/>
      </c>
      <c r="B171" s="4"/>
      <c r="C171" s="13"/>
      <c r="D171" s="14"/>
      <c r="E171" s="14"/>
      <c r="F171" s="15"/>
      <c r="G171" s="16"/>
      <c r="H171" s="16"/>
      <c r="I171" s="17" t="str">
        <f aca="false">IF(OR(G171="",H171=""),"",H171-G171)</f>
        <v/>
      </c>
      <c r="J171" s="4"/>
      <c r="K171" s="4"/>
      <c r="L171" s="18" t="str">
        <f aca="false">IF(F171="","",IF(COUNTIF('DS XE - TAI XE'!$B$6:$B$505,F171)&gt;0,"✓ Có","Chưa có trong DS xe"))</f>
        <v/>
      </c>
    </row>
    <row r="172" customFormat="false" ht="15" hidden="false" customHeight="false" outlineLevel="0" collapsed="false">
      <c r="A172" s="12" t="str">
        <f aca="false">IF(F172="","",COUNTA($F$8:F172))</f>
        <v/>
      </c>
      <c r="B172" s="4"/>
      <c r="C172" s="13"/>
      <c r="D172" s="14"/>
      <c r="E172" s="14"/>
      <c r="F172" s="15"/>
      <c r="G172" s="16"/>
      <c r="H172" s="16"/>
      <c r="I172" s="17" t="str">
        <f aca="false">IF(OR(G172="",H172=""),"",H172-G172)</f>
        <v/>
      </c>
      <c r="J172" s="4"/>
      <c r="K172" s="4"/>
      <c r="L172" s="18" t="str">
        <f aca="false">IF(F172="","",IF(COUNTIF('DS XE - TAI XE'!$B$6:$B$505,F172)&gt;0,"✓ Có","Chưa có trong DS xe"))</f>
        <v/>
      </c>
    </row>
    <row r="173" customFormat="false" ht="15" hidden="false" customHeight="false" outlineLevel="0" collapsed="false">
      <c r="A173" s="12" t="str">
        <f aca="false">IF(F173="","",COUNTA($F$8:F173))</f>
        <v/>
      </c>
      <c r="B173" s="4"/>
      <c r="C173" s="13"/>
      <c r="D173" s="14"/>
      <c r="E173" s="14"/>
      <c r="F173" s="15"/>
      <c r="G173" s="16"/>
      <c r="H173" s="16"/>
      <c r="I173" s="17" t="str">
        <f aca="false">IF(OR(G173="",H173=""),"",H173-G173)</f>
        <v/>
      </c>
      <c r="J173" s="4"/>
      <c r="K173" s="4"/>
      <c r="L173" s="18" t="str">
        <f aca="false">IF(F173="","",IF(COUNTIF('DS XE - TAI XE'!$B$6:$B$505,F173)&gt;0,"✓ Có","Chưa có trong DS xe"))</f>
        <v/>
      </c>
    </row>
    <row r="174" customFormat="false" ht="15" hidden="false" customHeight="false" outlineLevel="0" collapsed="false">
      <c r="A174" s="12" t="str">
        <f aca="false">IF(F174="","",COUNTA($F$8:F174))</f>
        <v/>
      </c>
      <c r="B174" s="4"/>
      <c r="C174" s="13"/>
      <c r="D174" s="14"/>
      <c r="E174" s="14"/>
      <c r="F174" s="15"/>
      <c r="G174" s="16"/>
      <c r="H174" s="16"/>
      <c r="I174" s="17" t="str">
        <f aca="false">IF(OR(G174="",H174=""),"",H174-G174)</f>
        <v/>
      </c>
      <c r="J174" s="4"/>
      <c r="K174" s="4"/>
      <c r="L174" s="18" t="str">
        <f aca="false">IF(F174="","",IF(COUNTIF('DS XE - TAI XE'!$B$6:$B$505,F174)&gt;0,"✓ Có","Chưa có trong DS xe"))</f>
        <v/>
      </c>
    </row>
    <row r="175" customFormat="false" ht="15" hidden="false" customHeight="false" outlineLevel="0" collapsed="false">
      <c r="A175" s="12" t="str">
        <f aca="false">IF(F175="","",COUNTA($F$8:F175))</f>
        <v/>
      </c>
      <c r="B175" s="4"/>
      <c r="C175" s="13"/>
      <c r="D175" s="14"/>
      <c r="E175" s="14"/>
      <c r="F175" s="15"/>
      <c r="G175" s="16"/>
      <c r="H175" s="16"/>
      <c r="I175" s="17" t="str">
        <f aca="false">IF(OR(G175="",H175=""),"",H175-G175)</f>
        <v/>
      </c>
      <c r="J175" s="4"/>
      <c r="K175" s="4"/>
      <c r="L175" s="18" t="str">
        <f aca="false">IF(F175="","",IF(COUNTIF('DS XE - TAI XE'!$B$6:$B$505,F175)&gt;0,"✓ Có","Chưa có trong DS xe"))</f>
        <v/>
      </c>
    </row>
    <row r="176" customFormat="false" ht="15" hidden="false" customHeight="false" outlineLevel="0" collapsed="false">
      <c r="A176" s="12" t="str">
        <f aca="false">IF(F176="","",COUNTA($F$8:F176))</f>
        <v/>
      </c>
      <c r="B176" s="4"/>
      <c r="C176" s="13"/>
      <c r="D176" s="14"/>
      <c r="E176" s="14"/>
      <c r="F176" s="15"/>
      <c r="G176" s="16"/>
      <c r="H176" s="16"/>
      <c r="I176" s="17" t="str">
        <f aca="false">IF(OR(G176="",H176=""),"",H176-G176)</f>
        <v/>
      </c>
      <c r="J176" s="4"/>
      <c r="K176" s="4"/>
      <c r="L176" s="18" t="str">
        <f aca="false">IF(F176="","",IF(COUNTIF('DS XE - TAI XE'!$B$6:$B$505,F176)&gt;0,"✓ Có","Chưa có trong DS xe"))</f>
        <v/>
      </c>
    </row>
    <row r="177" customFormat="false" ht="15" hidden="false" customHeight="false" outlineLevel="0" collapsed="false">
      <c r="A177" s="12" t="str">
        <f aca="false">IF(F177="","",COUNTA($F$8:F177))</f>
        <v/>
      </c>
      <c r="B177" s="4"/>
      <c r="C177" s="13"/>
      <c r="D177" s="14"/>
      <c r="E177" s="14"/>
      <c r="F177" s="15"/>
      <c r="G177" s="16"/>
      <c r="H177" s="16"/>
      <c r="I177" s="17" t="str">
        <f aca="false">IF(OR(G177="",H177=""),"",H177-G177)</f>
        <v/>
      </c>
      <c r="J177" s="4"/>
      <c r="K177" s="4"/>
      <c r="L177" s="18" t="str">
        <f aca="false">IF(F177="","",IF(COUNTIF('DS XE - TAI XE'!$B$6:$B$505,F177)&gt;0,"✓ Có","Chưa có trong DS xe"))</f>
        <v/>
      </c>
    </row>
    <row r="178" customFormat="false" ht="15" hidden="false" customHeight="false" outlineLevel="0" collapsed="false">
      <c r="A178" s="12" t="str">
        <f aca="false">IF(F178="","",COUNTA($F$8:F178))</f>
        <v/>
      </c>
      <c r="B178" s="4"/>
      <c r="C178" s="13"/>
      <c r="D178" s="14"/>
      <c r="E178" s="14"/>
      <c r="F178" s="15"/>
      <c r="G178" s="16"/>
      <c r="H178" s="16"/>
      <c r="I178" s="17" t="str">
        <f aca="false">IF(OR(G178="",H178=""),"",H178-G178)</f>
        <v/>
      </c>
      <c r="J178" s="4"/>
      <c r="K178" s="4"/>
      <c r="L178" s="18" t="str">
        <f aca="false">IF(F178="","",IF(COUNTIF('DS XE - TAI XE'!$B$6:$B$505,F178)&gt;0,"✓ Có","Chưa có trong DS xe"))</f>
        <v/>
      </c>
    </row>
    <row r="179" customFormat="false" ht="15" hidden="false" customHeight="false" outlineLevel="0" collapsed="false">
      <c r="A179" s="12" t="str">
        <f aca="false">IF(F179="","",COUNTA($F$8:F179))</f>
        <v/>
      </c>
      <c r="B179" s="4"/>
      <c r="C179" s="13"/>
      <c r="D179" s="14"/>
      <c r="E179" s="14"/>
      <c r="F179" s="15"/>
      <c r="G179" s="16"/>
      <c r="H179" s="16"/>
      <c r="I179" s="17" t="str">
        <f aca="false">IF(OR(G179="",H179=""),"",H179-G179)</f>
        <v/>
      </c>
      <c r="J179" s="4"/>
      <c r="K179" s="4"/>
      <c r="L179" s="18" t="str">
        <f aca="false">IF(F179="","",IF(COUNTIF('DS XE - TAI XE'!$B$6:$B$505,F179)&gt;0,"✓ Có","Chưa có trong DS xe"))</f>
        <v/>
      </c>
    </row>
    <row r="180" customFormat="false" ht="15" hidden="false" customHeight="false" outlineLevel="0" collapsed="false">
      <c r="A180" s="12" t="str">
        <f aca="false">IF(F180="","",COUNTA($F$8:F180))</f>
        <v/>
      </c>
      <c r="B180" s="4"/>
      <c r="C180" s="13"/>
      <c r="D180" s="14"/>
      <c r="E180" s="14"/>
      <c r="F180" s="15"/>
      <c r="G180" s="16"/>
      <c r="H180" s="16"/>
      <c r="I180" s="17" t="str">
        <f aca="false">IF(OR(G180="",H180=""),"",H180-G180)</f>
        <v/>
      </c>
      <c r="J180" s="4"/>
      <c r="K180" s="4"/>
      <c r="L180" s="18" t="str">
        <f aca="false">IF(F180="","",IF(COUNTIF('DS XE - TAI XE'!$B$6:$B$505,F180)&gt;0,"✓ Có","Chưa có trong DS xe"))</f>
        <v/>
      </c>
    </row>
    <row r="181" customFormat="false" ht="15" hidden="false" customHeight="false" outlineLevel="0" collapsed="false">
      <c r="A181" s="12" t="str">
        <f aca="false">IF(F181="","",COUNTA($F$8:F181))</f>
        <v/>
      </c>
      <c r="B181" s="4"/>
      <c r="C181" s="13"/>
      <c r="D181" s="14"/>
      <c r="E181" s="14"/>
      <c r="F181" s="15"/>
      <c r="G181" s="16"/>
      <c r="H181" s="16"/>
      <c r="I181" s="17" t="str">
        <f aca="false">IF(OR(G181="",H181=""),"",H181-G181)</f>
        <v/>
      </c>
      <c r="J181" s="4"/>
      <c r="K181" s="4"/>
      <c r="L181" s="18" t="str">
        <f aca="false">IF(F181="","",IF(COUNTIF('DS XE - TAI XE'!$B$6:$B$505,F181)&gt;0,"✓ Có","Chưa có trong DS xe"))</f>
        <v/>
      </c>
    </row>
    <row r="182" customFormat="false" ht="15" hidden="false" customHeight="false" outlineLevel="0" collapsed="false">
      <c r="A182" s="12" t="str">
        <f aca="false">IF(F182="","",COUNTA($F$8:F182))</f>
        <v/>
      </c>
      <c r="B182" s="4"/>
      <c r="C182" s="13"/>
      <c r="D182" s="14"/>
      <c r="E182" s="14"/>
      <c r="F182" s="15"/>
      <c r="G182" s="16"/>
      <c r="H182" s="16"/>
      <c r="I182" s="17" t="str">
        <f aca="false">IF(OR(G182="",H182=""),"",H182-G182)</f>
        <v/>
      </c>
      <c r="J182" s="4"/>
      <c r="K182" s="4"/>
      <c r="L182" s="18" t="str">
        <f aca="false">IF(F182="","",IF(COUNTIF('DS XE - TAI XE'!$B$6:$B$505,F182)&gt;0,"✓ Có","Chưa có trong DS xe"))</f>
        <v/>
      </c>
    </row>
    <row r="183" customFormat="false" ht="15" hidden="false" customHeight="false" outlineLevel="0" collapsed="false">
      <c r="A183" s="12" t="str">
        <f aca="false">IF(F183="","",COUNTA($F$8:F183))</f>
        <v/>
      </c>
      <c r="B183" s="4"/>
      <c r="C183" s="13"/>
      <c r="D183" s="14"/>
      <c r="E183" s="14"/>
      <c r="F183" s="15"/>
      <c r="G183" s="16"/>
      <c r="H183" s="16"/>
      <c r="I183" s="17" t="str">
        <f aca="false">IF(OR(G183="",H183=""),"",H183-G183)</f>
        <v/>
      </c>
      <c r="J183" s="4"/>
      <c r="K183" s="4"/>
      <c r="L183" s="18" t="str">
        <f aca="false">IF(F183="","",IF(COUNTIF('DS XE - TAI XE'!$B$6:$B$505,F183)&gt;0,"✓ Có","Chưa có trong DS xe"))</f>
        <v/>
      </c>
    </row>
    <row r="184" customFormat="false" ht="15" hidden="false" customHeight="false" outlineLevel="0" collapsed="false">
      <c r="A184" s="12" t="str">
        <f aca="false">IF(F184="","",COUNTA($F$8:F184))</f>
        <v/>
      </c>
      <c r="B184" s="4"/>
      <c r="C184" s="13"/>
      <c r="D184" s="14"/>
      <c r="E184" s="14"/>
      <c r="F184" s="15"/>
      <c r="G184" s="16"/>
      <c r="H184" s="16"/>
      <c r="I184" s="17" t="str">
        <f aca="false">IF(OR(G184="",H184=""),"",H184-G184)</f>
        <v/>
      </c>
      <c r="J184" s="4"/>
      <c r="K184" s="4"/>
      <c r="L184" s="18" t="str">
        <f aca="false">IF(F184="","",IF(COUNTIF('DS XE - TAI XE'!$B$6:$B$505,F184)&gt;0,"✓ Có","Chưa có trong DS xe"))</f>
        <v/>
      </c>
    </row>
    <row r="185" customFormat="false" ht="15" hidden="false" customHeight="false" outlineLevel="0" collapsed="false">
      <c r="A185" s="12" t="str">
        <f aca="false">IF(F185="","",COUNTA($F$8:F185))</f>
        <v/>
      </c>
      <c r="B185" s="4"/>
      <c r="C185" s="13"/>
      <c r="D185" s="14"/>
      <c r="E185" s="14"/>
      <c r="F185" s="15"/>
      <c r="G185" s="16"/>
      <c r="H185" s="16"/>
      <c r="I185" s="17" t="str">
        <f aca="false">IF(OR(G185="",H185=""),"",H185-G185)</f>
        <v/>
      </c>
      <c r="J185" s="4"/>
      <c r="K185" s="4"/>
      <c r="L185" s="18" t="str">
        <f aca="false">IF(F185="","",IF(COUNTIF('DS XE - TAI XE'!$B$6:$B$505,F185)&gt;0,"✓ Có","Chưa có trong DS xe"))</f>
        <v/>
      </c>
    </row>
    <row r="186" customFormat="false" ht="15" hidden="false" customHeight="false" outlineLevel="0" collapsed="false">
      <c r="A186" s="12" t="str">
        <f aca="false">IF(F186="","",COUNTA($F$8:F186))</f>
        <v/>
      </c>
      <c r="B186" s="4"/>
      <c r="C186" s="13"/>
      <c r="D186" s="14"/>
      <c r="E186" s="14"/>
      <c r="F186" s="15"/>
      <c r="G186" s="16"/>
      <c r="H186" s="16"/>
      <c r="I186" s="17" t="str">
        <f aca="false">IF(OR(G186="",H186=""),"",H186-G186)</f>
        <v/>
      </c>
      <c r="J186" s="4"/>
      <c r="K186" s="4"/>
      <c r="L186" s="18" t="str">
        <f aca="false">IF(F186="","",IF(COUNTIF('DS XE - TAI XE'!$B$6:$B$505,F186)&gt;0,"✓ Có","Chưa có trong DS xe"))</f>
        <v/>
      </c>
    </row>
    <row r="187" customFormat="false" ht="15" hidden="false" customHeight="false" outlineLevel="0" collapsed="false">
      <c r="A187" s="12" t="str">
        <f aca="false">IF(F187="","",COUNTA($F$8:F187))</f>
        <v/>
      </c>
      <c r="B187" s="4"/>
      <c r="C187" s="13"/>
      <c r="D187" s="14"/>
      <c r="E187" s="14"/>
      <c r="F187" s="15"/>
      <c r="G187" s="16"/>
      <c r="H187" s="16"/>
      <c r="I187" s="17" t="str">
        <f aca="false">IF(OR(G187="",H187=""),"",H187-G187)</f>
        <v/>
      </c>
      <c r="J187" s="4"/>
      <c r="K187" s="4"/>
      <c r="L187" s="18" t="str">
        <f aca="false">IF(F187="","",IF(COUNTIF('DS XE - TAI XE'!$B$6:$B$505,F187)&gt;0,"✓ Có","Chưa có trong DS xe"))</f>
        <v/>
      </c>
    </row>
    <row r="188" customFormat="false" ht="15" hidden="false" customHeight="false" outlineLevel="0" collapsed="false">
      <c r="A188" s="12" t="str">
        <f aca="false">IF(F188="","",COUNTA($F$8:F188))</f>
        <v/>
      </c>
      <c r="B188" s="4"/>
      <c r="C188" s="13"/>
      <c r="D188" s="14"/>
      <c r="E188" s="14"/>
      <c r="F188" s="15"/>
      <c r="G188" s="16"/>
      <c r="H188" s="16"/>
      <c r="I188" s="17" t="str">
        <f aca="false">IF(OR(G188="",H188=""),"",H188-G188)</f>
        <v/>
      </c>
      <c r="J188" s="4"/>
      <c r="K188" s="4"/>
      <c r="L188" s="18" t="str">
        <f aca="false">IF(F188="","",IF(COUNTIF('DS XE - TAI XE'!$B$6:$B$505,F188)&gt;0,"✓ Có","Chưa có trong DS xe"))</f>
        <v/>
      </c>
    </row>
    <row r="189" customFormat="false" ht="15" hidden="false" customHeight="false" outlineLevel="0" collapsed="false">
      <c r="A189" s="12" t="str">
        <f aca="false">IF(F189="","",COUNTA($F$8:F189))</f>
        <v/>
      </c>
      <c r="B189" s="4"/>
      <c r="C189" s="13"/>
      <c r="D189" s="14"/>
      <c r="E189" s="14"/>
      <c r="F189" s="15"/>
      <c r="G189" s="16"/>
      <c r="H189" s="16"/>
      <c r="I189" s="17" t="str">
        <f aca="false">IF(OR(G189="",H189=""),"",H189-G189)</f>
        <v/>
      </c>
      <c r="J189" s="4"/>
      <c r="K189" s="4"/>
      <c r="L189" s="18" t="str">
        <f aca="false">IF(F189="","",IF(COUNTIF('DS XE - TAI XE'!$B$6:$B$505,F189)&gt;0,"✓ Có","Chưa có trong DS xe"))</f>
        <v/>
      </c>
    </row>
    <row r="190" customFormat="false" ht="15" hidden="false" customHeight="false" outlineLevel="0" collapsed="false">
      <c r="A190" s="12" t="str">
        <f aca="false">IF(F190="","",COUNTA($F$8:F190))</f>
        <v/>
      </c>
      <c r="B190" s="4"/>
      <c r="C190" s="13"/>
      <c r="D190" s="14"/>
      <c r="E190" s="14"/>
      <c r="F190" s="15"/>
      <c r="G190" s="16"/>
      <c r="H190" s="16"/>
      <c r="I190" s="17" t="str">
        <f aca="false">IF(OR(G190="",H190=""),"",H190-G190)</f>
        <v/>
      </c>
      <c r="J190" s="4"/>
      <c r="K190" s="4"/>
      <c r="L190" s="18" t="str">
        <f aca="false">IF(F190="","",IF(COUNTIF('DS XE - TAI XE'!$B$6:$B$505,F190)&gt;0,"✓ Có","Chưa có trong DS xe"))</f>
        <v/>
      </c>
    </row>
    <row r="191" customFormat="false" ht="15" hidden="false" customHeight="false" outlineLevel="0" collapsed="false">
      <c r="A191" s="12" t="str">
        <f aca="false">IF(F191="","",COUNTA($F$8:F191))</f>
        <v/>
      </c>
      <c r="B191" s="4"/>
      <c r="C191" s="13"/>
      <c r="D191" s="14"/>
      <c r="E191" s="14"/>
      <c r="F191" s="15"/>
      <c r="G191" s="16"/>
      <c r="H191" s="16"/>
      <c r="I191" s="17" t="str">
        <f aca="false">IF(OR(G191="",H191=""),"",H191-G191)</f>
        <v/>
      </c>
      <c r="J191" s="4"/>
      <c r="K191" s="4"/>
      <c r="L191" s="18" t="str">
        <f aca="false">IF(F191="","",IF(COUNTIF('DS XE - TAI XE'!$B$6:$B$505,F191)&gt;0,"✓ Có","Chưa có trong DS xe"))</f>
        <v/>
      </c>
    </row>
    <row r="192" customFormat="false" ht="15" hidden="false" customHeight="false" outlineLevel="0" collapsed="false">
      <c r="A192" s="12" t="str">
        <f aca="false">IF(F192="","",COUNTA($F$8:F192))</f>
        <v/>
      </c>
      <c r="B192" s="4"/>
      <c r="C192" s="13"/>
      <c r="D192" s="14"/>
      <c r="E192" s="14"/>
      <c r="F192" s="15"/>
      <c r="G192" s="16"/>
      <c r="H192" s="16"/>
      <c r="I192" s="17" t="str">
        <f aca="false">IF(OR(G192="",H192=""),"",H192-G192)</f>
        <v/>
      </c>
      <c r="J192" s="4"/>
      <c r="K192" s="4"/>
      <c r="L192" s="18" t="str">
        <f aca="false">IF(F192="","",IF(COUNTIF('DS XE - TAI XE'!$B$6:$B$505,F192)&gt;0,"✓ Có","Chưa có trong DS xe"))</f>
        <v/>
      </c>
    </row>
    <row r="193" customFormat="false" ht="15" hidden="false" customHeight="false" outlineLevel="0" collapsed="false">
      <c r="A193" s="12" t="str">
        <f aca="false">IF(F193="","",COUNTA($F$8:F193))</f>
        <v/>
      </c>
      <c r="B193" s="4"/>
      <c r="C193" s="13"/>
      <c r="D193" s="14"/>
      <c r="E193" s="14"/>
      <c r="F193" s="15"/>
      <c r="G193" s="16"/>
      <c r="H193" s="16"/>
      <c r="I193" s="17" t="str">
        <f aca="false">IF(OR(G193="",H193=""),"",H193-G193)</f>
        <v/>
      </c>
      <c r="J193" s="4"/>
      <c r="K193" s="4"/>
      <c r="L193" s="18" t="str">
        <f aca="false">IF(F193="","",IF(COUNTIF('DS XE - TAI XE'!$B$6:$B$505,F193)&gt;0,"✓ Có","Chưa có trong DS xe"))</f>
        <v/>
      </c>
    </row>
    <row r="194" customFormat="false" ht="15" hidden="false" customHeight="false" outlineLevel="0" collapsed="false">
      <c r="A194" s="12" t="str">
        <f aca="false">IF(F194="","",COUNTA($F$8:F194))</f>
        <v/>
      </c>
      <c r="B194" s="4"/>
      <c r="C194" s="13"/>
      <c r="D194" s="14"/>
      <c r="E194" s="14"/>
      <c r="F194" s="15"/>
      <c r="G194" s="16"/>
      <c r="H194" s="16"/>
      <c r="I194" s="17" t="str">
        <f aca="false">IF(OR(G194="",H194=""),"",H194-G194)</f>
        <v/>
      </c>
      <c r="J194" s="4"/>
      <c r="K194" s="4"/>
      <c r="L194" s="18" t="str">
        <f aca="false">IF(F194="","",IF(COUNTIF('DS XE - TAI XE'!$B$6:$B$505,F194)&gt;0,"✓ Có","Chưa có trong DS xe"))</f>
        <v/>
      </c>
    </row>
    <row r="195" customFormat="false" ht="15" hidden="false" customHeight="false" outlineLevel="0" collapsed="false">
      <c r="A195" s="12" t="str">
        <f aca="false">IF(F195="","",COUNTA($F$8:F195))</f>
        <v/>
      </c>
      <c r="B195" s="4"/>
      <c r="C195" s="13"/>
      <c r="D195" s="14"/>
      <c r="E195" s="14"/>
      <c r="F195" s="15"/>
      <c r="G195" s="16"/>
      <c r="H195" s="16"/>
      <c r="I195" s="17" t="str">
        <f aca="false">IF(OR(G195="",H195=""),"",H195-G195)</f>
        <v/>
      </c>
      <c r="J195" s="4"/>
      <c r="K195" s="4"/>
      <c r="L195" s="18" t="str">
        <f aca="false">IF(F195="","",IF(COUNTIF('DS XE - TAI XE'!$B$6:$B$505,F195)&gt;0,"✓ Có","Chưa có trong DS xe"))</f>
        <v/>
      </c>
    </row>
    <row r="196" customFormat="false" ht="15" hidden="false" customHeight="false" outlineLevel="0" collapsed="false">
      <c r="A196" s="12" t="str">
        <f aca="false">IF(F196="","",COUNTA($F$8:F196))</f>
        <v/>
      </c>
      <c r="B196" s="4"/>
      <c r="C196" s="13"/>
      <c r="D196" s="14"/>
      <c r="E196" s="14"/>
      <c r="F196" s="15"/>
      <c r="G196" s="16"/>
      <c r="H196" s="16"/>
      <c r="I196" s="17" t="str">
        <f aca="false">IF(OR(G196="",H196=""),"",H196-G196)</f>
        <v/>
      </c>
      <c r="J196" s="4"/>
      <c r="K196" s="4"/>
      <c r="L196" s="18" t="str">
        <f aca="false">IF(F196="","",IF(COUNTIF('DS XE - TAI XE'!$B$6:$B$505,F196)&gt;0,"✓ Có","Chưa có trong DS xe"))</f>
        <v/>
      </c>
    </row>
    <row r="197" customFormat="false" ht="15" hidden="false" customHeight="false" outlineLevel="0" collapsed="false">
      <c r="A197" s="12" t="str">
        <f aca="false">IF(F197="","",COUNTA($F$8:F197))</f>
        <v/>
      </c>
      <c r="B197" s="4"/>
      <c r="C197" s="13"/>
      <c r="D197" s="14"/>
      <c r="E197" s="14"/>
      <c r="F197" s="15"/>
      <c r="G197" s="16"/>
      <c r="H197" s="16"/>
      <c r="I197" s="17" t="str">
        <f aca="false">IF(OR(G197="",H197=""),"",H197-G197)</f>
        <v/>
      </c>
      <c r="J197" s="4"/>
      <c r="K197" s="4"/>
      <c r="L197" s="18" t="str">
        <f aca="false">IF(F197="","",IF(COUNTIF('DS XE - TAI XE'!$B$6:$B$505,F197)&gt;0,"✓ Có","Chưa có trong DS xe"))</f>
        <v/>
      </c>
    </row>
    <row r="198" customFormat="false" ht="15" hidden="false" customHeight="false" outlineLevel="0" collapsed="false">
      <c r="A198" s="12" t="str">
        <f aca="false">IF(F198="","",COUNTA($F$8:F198))</f>
        <v/>
      </c>
      <c r="B198" s="4"/>
      <c r="C198" s="13"/>
      <c r="D198" s="14"/>
      <c r="E198" s="14"/>
      <c r="F198" s="15"/>
      <c r="G198" s="16"/>
      <c r="H198" s="16"/>
      <c r="I198" s="17" t="str">
        <f aca="false">IF(OR(G198="",H198=""),"",H198-G198)</f>
        <v/>
      </c>
      <c r="J198" s="4"/>
      <c r="K198" s="4"/>
      <c r="L198" s="18" t="str">
        <f aca="false">IF(F198="","",IF(COUNTIF('DS XE - TAI XE'!$B$6:$B$505,F198)&gt;0,"✓ Có","Chưa có trong DS xe"))</f>
        <v/>
      </c>
    </row>
    <row r="199" customFormat="false" ht="15" hidden="false" customHeight="false" outlineLevel="0" collapsed="false">
      <c r="A199" s="12" t="str">
        <f aca="false">IF(F199="","",COUNTA($F$8:F199))</f>
        <v/>
      </c>
      <c r="B199" s="4"/>
      <c r="C199" s="13"/>
      <c r="D199" s="14"/>
      <c r="E199" s="14"/>
      <c r="F199" s="15"/>
      <c r="G199" s="16"/>
      <c r="H199" s="16"/>
      <c r="I199" s="17" t="str">
        <f aca="false">IF(OR(G199="",H199=""),"",H199-G199)</f>
        <v/>
      </c>
      <c r="J199" s="4"/>
      <c r="K199" s="4"/>
      <c r="L199" s="18" t="str">
        <f aca="false">IF(F199="","",IF(COUNTIF('DS XE - TAI XE'!$B$6:$B$505,F199)&gt;0,"✓ Có","Chưa có trong DS xe"))</f>
        <v/>
      </c>
    </row>
    <row r="200" customFormat="false" ht="15" hidden="false" customHeight="false" outlineLevel="0" collapsed="false">
      <c r="A200" s="12" t="str">
        <f aca="false">IF(F200="","",COUNTA($F$8:F200))</f>
        <v/>
      </c>
      <c r="B200" s="4"/>
      <c r="C200" s="13"/>
      <c r="D200" s="14"/>
      <c r="E200" s="14"/>
      <c r="F200" s="15"/>
      <c r="G200" s="16"/>
      <c r="H200" s="16"/>
      <c r="I200" s="17" t="str">
        <f aca="false">IF(OR(G200="",H200=""),"",H200-G200)</f>
        <v/>
      </c>
      <c r="J200" s="4"/>
      <c r="K200" s="4"/>
      <c r="L200" s="18" t="str">
        <f aca="false">IF(F200="","",IF(COUNTIF('DS XE - TAI XE'!$B$6:$B$505,F200)&gt;0,"✓ Có","Chưa có trong DS xe"))</f>
        <v/>
      </c>
    </row>
    <row r="201" customFormat="false" ht="15" hidden="false" customHeight="false" outlineLevel="0" collapsed="false">
      <c r="A201" s="12" t="str">
        <f aca="false">IF(F201="","",COUNTA($F$8:F201))</f>
        <v/>
      </c>
      <c r="B201" s="4"/>
      <c r="C201" s="13"/>
      <c r="D201" s="14"/>
      <c r="E201" s="14"/>
      <c r="F201" s="15"/>
      <c r="G201" s="16"/>
      <c r="H201" s="16"/>
      <c r="I201" s="17" t="str">
        <f aca="false">IF(OR(G201="",H201=""),"",H201-G201)</f>
        <v/>
      </c>
      <c r="J201" s="4"/>
      <c r="K201" s="4"/>
      <c r="L201" s="18" t="str">
        <f aca="false">IF(F201="","",IF(COUNTIF('DS XE - TAI XE'!$B$6:$B$505,F201)&gt;0,"✓ Có","Chưa có trong DS xe"))</f>
        <v/>
      </c>
    </row>
    <row r="202" customFormat="false" ht="15" hidden="false" customHeight="false" outlineLevel="0" collapsed="false">
      <c r="A202" s="12" t="str">
        <f aca="false">IF(F202="","",COUNTA($F$8:F202))</f>
        <v/>
      </c>
      <c r="B202" s="4"/>
      <c r="C202" s="13"/>
      <c r="D202" s="14"/>
      <c r="E202" s="14"/>
      <c r="F202" s="15"/>
      <c r="G202" s="16"/>
      <c r="H202" s="16"/>
      <c r="I202" s="17" t="str">
        <f aca="false">IF(OR(G202="",H202=""),"",H202-G202)</f>
        <v/>
      </c>
      <c r="J202" s="4"/>
      <c r="K202" s="4"/>
      <c r="L202" s="18" t="str">
        <f aca="false">IF(F202="","",IF(COUNTIF('DS XE - TAI XE'!$B$6:$B$505,F202)&gt;0,"✓ Có","Chưa có trong DS xe"))</f>
        <v/>
      </c>
    </row>
    <row r="203" customFormat="false" ht="15" hidden="false" customHeight="false" outlineLevel="0" collapsed="false">
      <c r="A203" s="12" t="str">
        <f aca="false">IF(F203="","",COUNTA($F$8:F203))</f>
        <v/>
      </c>
      <c r="B203" s="4"/>
      <c r="C203" s="13"/>
      <c r="D203" s="14"/>
      <c r="E203" s="14"/>
      <c r="F203" s="15"/>
      <c r="G203" s="16"/>
      <c r="H203" s="16"/>
      <c r="I203" s="17" t="str">
        <f aca="false">IF(OR(G203="",H203=""),"",H203-G203)</f>
        <v/>
      </c>
      <c r="J203" s="4"/>
      <c r="K203" s="4"/>
      <c r="L203" s="18" t="str">
        <f aca="false">IF(F203="","",IF(COUNTIF('DS XE - TAI XE'!$B$6:$B$505,F203)&gt;0,"✓ Có","Chưa có trong DS xe"))</f>
        <v/>
      </c>
    </row>
    <row r="204" customFormat="false" ht="15" hidden="false" customHeight="false" outlineLevel="0" collapsed="false">
      <c r="A204" s="12" t="str">
        <f aca="false">IF(F204="","",COUNTA($F$8:F204))</f>
        <v/>
      </c>
      <c r="B204" s="4"/>
      <c r="C204" s="13"/>
      <c r="D204" s="14"/>
      <c r="E204" s="14"/>
      <c r="F204" s="15"/>
      <c r="G204" s="16"/>
      <c r="H204" s="16"/>
      <c r="I204" s="17" t="str">
        <f aca="false">IF(OR(G204="",H204=""),"",H204-G204)</f>
        <v/>
      </c>
      <c r="J204" s="4"/>
      <c r="K204" s="4"/>
      <c r="L204" s="18" t="str">
        <f aca="false">IF(F204="","",IF(COUNTIF('DS XE - TAI XE'!$B$6:$B$505,F204)&gt;0,"✓ Có","Chưa có trong DS xe"))</f>
        <v/>
      </c>
    </row>
    <row r="205" customFormat="false" ht="15" hidden="false" customHeight="false" outlineLevel="0" collapsed="false">
      <c r="A205" s="12" t="str">
        <f aca="false">IF(F205="","",COUNTA($F$8:F205))</f>
        <v/>
      </c>
      <c r="B205" s="4"/>
      <c r="C205" s="13"/>
      <c r="D205" s="14"/>
      <c r="E205" s="14"/>
      <c r="F205" s="15"/>
      <c r="G205" s="16"/>
      <c r="H205" s="16"/>
      <c r="I205" s="17" t="str">
        <f aca="false">IF(OR(G205="",H205=""),"",H205-G205)</f>
        <v/>
      </c>
      <c r="J205" s="4"/>
      <c r="K205" s="4"/>
      <c r="L205" s="18" t="str">
        <f aca="false">IF(F205="","",IF(COUNTIF('DS XE - TAI XE'!$B$6:$B$505,F205)&gt;0,"✓ Có","Chưa có trong DS xe"))</f>
        <v/>
      </c>
    </row>
    <row r="206" customFormat="false" ht="15" hidden="false" customHeight="false" outlineLevel="0" collapsed="false">
      <c r="A206" s="12" t="str">
        <f aca="false">IF(F206="","",COUNTA($F$8:F206))</f>
        <v/>
      </c>
      <c r="B206" s="4"/>
      <c r="C206" s="13"/>
      <c r="D206" s="14"/>
      <c r="E206" s="14"/>
      <c r="F206" s="15"/>
      <c r="G206" s="16"/>
      <c r="H206" s="16"/>
      <c r="I206" s="17" t="str">
        <f aca="false">IF(OR(G206="",H206=""),"",H206-G206)</f>
        <v/>
      </c>
      <c r="J206" s="4"/>
      <c r="K206" s="4"/>
      <c r="L206" s="18" t="str">
        <f aca="false">IF(F206="","",IF(COUNTIF('DS XE - TAI XE'!$B$6:$B$505,F206)&gt;0,"✓ Có","Chưa có trong DS xe"))</f>
        <v/>
      </c>
    </row>
    <row r="207" customFormat="false" ht="15" hidden="false" customHeight="false" outlineLevel="0" collapsed="false">
      <c r="A207" s="12" t="str">
        <f aca="false">IF(F207="","",COUNTA($F$8:F207))</f>
        <v/>
      </c>
      <c r="B207" s="4"/>
      <c r="C207" s="13"/>
      <c r="D207" s="14"/>
      <c r="E207" s="14"/>
      <c r="F207" s="15"/>
      <c r="G207" s="16"/>
      <c r="H207" s="16"/>
      <c r="I207" s="17" t="str">
        <f aca="false">IF(OR(G207="",H207=""),"",H207-G207)</f>
        <v/>
      </c>
      <c r="J207" s="4"/>
      <c r="K207" s="4"/>
      <c r="L207" s="18" t="str">
        <f aca="false">IF(F207="","",IF(COUNTIF('DS XE - TAI XE'!$B$6:$B$505,F207)&gt;0,"✓ Có","Chưa có trong DS xe"))</f>
        <v/>
      </c>
    </row>
    <row r="208" customFormat="false" ht="15" hidden="false" customHeight="false" outlineLevel="0" collapsed="false">
      <c r="A208" s="12" t="str">
        <f aca="false">IF(F208="","",COUNTA($F$8:F208))</f>
        <v/>
      </c>
      <c r="B208" s="4"/>
      <c r="C208" s="13"/>
      <c r="D208" s="14"/>
      <c r="E208" s="14"/>
      <c r="F208" s="15"/>
      <c r="G208" s="16"/>
      <c r="H208" s="16"/>
      <c r="I208" s="17" t="str">
        <f aca="false">IF(OR(G208="",H208=""),"",H208-G208)</f>
        <v/>
      </c>
      <c r="J208" s="4"/>
      <c r="K208" s="4"/>
      <c r="L208" s="18" t="str">
        <f aca="false">IF(F208="","",IF(COUNTIF('DS XE - TAI XE'!$B$6:$B$505,F208)&gt;0,"✓ Có","Chưa có trong DS xe"))</f>
        <v/>
      </c>
    </row>
    <row r="209" customFormat="false" ht="15" hidden="false" customHeight="false" outlineLevel="0" collapsed="false">
      <c r="A209" s="12" t="str">
        <f aca="false">IF(F209="","",COUNTA($F$8:F209))</f>
        <v/>
      </c>
      <c r="B209" s="4"/>
      <c r="C209" s="13"/>
      <c r="D209" s="14"/>
      <c r="E209" s="14"/>
      <c r="F209" s="15"/>
      <c r="G209" s="16"/>
      <c r="H209" s="16"/>
      <c r="I209" s="17" t="str">
        <f aca="false">IF(OR(G209="",H209=""),"",H209-G209)</f>
        <v/>
      </c>
      <c r="J209" s="4"/>
      <c r="K209" s="4"/>
      <c r="L209" s="18" t="str">
        <f aca="false">IF(F209="","",IF(COUNTIF('DS XE - TAI XE'!$B$6:$B$505,F209)&gt;0,"✓ Có","Chưa có trong DS xe"))</f>
        <v/>
      </c>
    </row>
    <row r="210" customFormat="false" ht="15" hidden="false" customHeight="false" outlineLevel="0" collapsed="false">
      <c r="A210" s="12" t="str">
        <f aca="false">IF(F210="","",COUNTA($F$8:F210))</f>
        <v/>
      </c>
      <c r="B210" s="4"/>
      <c r="C210" s="13"/>
      <c r="D210" s="14"/>
      <c r="E210" s="14"/>
      <c r="F210" s="15"/>
      <c r="G210" s="16"/>
      <c r="H210" s="16"/>
      <c r="I210" s="17" t="str">
        <f aca="false">IF(OR(G210="",H210=""),"",H210-G210)</f>
        <v/>
      </c>
      <c r="J210" s="4"/>
      <c r="K210" s="4"/>
      <c r="L210" s="18" t="str">
        <f aca="false">IF(F210="","",IF(COUNTIF('DS XE - TAI XE'!$B$6:$B$505,F210)&gt;0,"✓ Có","Chưa có trong DS xe"))</f>
        <v/>
      </c>
    </row>
    <row r="211" customFormat="false" ht="15" hidden="false" customHeight="false" outlineLevel="0" collapsed="false">
      <c r="A211" s="12" t="str">
        <f aca="false">IF(F211="","",COUNTA($F$8:F211))</f>
        <v/>
      </c>
      <c r="B211" s="4"/>
      <c r="C211" s="13"/>
      <c r="D211" s="14"/>
      <c r="E211" s="14"/>
      <c r="F211" s="15"/>
      <c r="G211" s="16"/>
      <c r="H211" s="16"/>
      <c r="I211" s="17" t="str">
        <f aca="false">IF(OR(G211="",H211=""),"",H211-G211)</f>
        <v/>
      </c>
      <c r="J211" s="4"/>
      <c r="K211" s="4"/>
      <c r="L211" s="18" t="str">
        <f aca="false">IF(F211="","",IF(COUNTIF('DS XE - TAI XE'!$B$6:$B$505,F211)&gt;0,"✓ Có","Chưa có trong DS xe"))</f>
        <v/>
      </c>
    </row>
    <row r="212" customFormat="false" ht="15" hidden="false" customHeight="false" outlineLevel="0" collapsed="false">
      <c r="A212" s="12" t="str">
        <f aca="false">IF(F212="","",COUNTA($F$8:F212))</f>
        <v/>
      </c>
      <c r="B212" s="4"/>
      <c r="C212" s="13"/>
      <c r="D212" s="14"/>
      <c r="E212" s="14"/>
      <c r="F212" s="15"/>
      <c r="G212" s="16"/>
      <c r="H212" s="16"/>
      <c r="I212" s="17" t="str">
        <f aca="false">IF(OR(G212="",H212=""),"",H212-G212)</f>
        <v/>
      </c>
      <c r="J212" s="4"/>
      <c r="K212" s="4"/>
      <c r="L212" s="18" t="str">
        <f aca="false">IF(F212="","",IF(COUNTIF('DS XE - TAI XE'!$B$6:$B$505,F212)&gt;0,"✓ Có","Chưa có trong DS xe"))</f>
        <v/>
      </c>
    </row>
    <row r="213" customFormat="false" ht="15" hidden="false" customHeight="false" outlineLevel="0" collapsed="false">
      <c r="A213" s="12" t="str">
        <f aca="false">IF(F213="","",COUNTA($F$8:F213))</f>
        <v/>
      </c>
      <c r="B213" s="4"/>
      <c r="C213" s="13"/>
      <c r="D213" s="14"/>
      <c r="E213" s="14"/>
      <c r="F213" s="15"/>
      <c r="G213" s="16"/>
      <c r="H213" s="16"/>
      <c r="I213" s="17" t="str">
        <f aca="false">IF(OR(G213="",H213=""),"",H213-G213)</f>
        <v/>
      </c>
      <c r="J213" s="4"/>
      <c r="K213" s="4"/>
      <c r="L213" s="18" t="str">
        <f aca="false">IF(F213="","",IF(COUNTIF('DS XE - TAI XE'!$B$6:$B$505,F213)&gt;0,"✓ Có","Chưa có trong DS xe"))</f>
        <v/>
      </c>
    </row>
    <row r="214" customFormat="false" ht="15" hidden="false" customHeight="false" outlineLevel="0" collapsed="false">
      <c r="A214" s="12" t="str">
        <f aca="false">IF(F214="","",COUNTA($F$8:F214))</f>
        <v/>
      </c>
      <c r="B214" s="4"/>
      <c r="C214" s="13"/>
      <c r="D214" s="14"/>
      <c r="E214" s="14"/>
      <c r="F214" s="15"/>
      <c r="G214" s="16"/>
      <c r="H214" s="16"/>
      <c r="I214" s="17" t="str">
        <f aca="false">IF(OR(G214="",H214=""),"",H214-G214)</f>
        <v/>
      </c>
      <c r="J214" s="4"/>
      <c r="K214" s="4"/>
      <c r="L214" s="18" t="str">
        <f aca="false">IF(F214="","",IF(COUNTIF('DS XE - TAI XE'!$B$6:$B$505,F214)&gt;0,"✓ Có","Chưa có trong DS xe"))</f>
        <v/>
      </c>
    </row>
    <row r="215" customFormat="false" ht="15" hidden="false" customHeight="false" outlineLevel="0" collapsed="false">
      <c r="A215" s="12" t="str">
        <f aca="false">IF(F215="","",COUNTA($F$8:F215))</f>
        <v/>
      </c>
      <c r="B215" s="4"/>
      <c r="C215" s="13"/>
      <c r="D215" s="14"/>
      <c r="E215" s="14"/>
      <c r="F215" s="15"/>
      <c r="G215" s="16"/>
      <c r="H215" s="16"/>
      <c r="I215" s="17" t="str">
        <f aca="false">IF(OR(G215="",H215=""),"",H215-G215)</f>
        <v/>
      </c>
      <c r="J215" s="4"/>
      <c r="K215" s="4"/>
      <c r="L215" s="18" t="str">
        <f aca="false">IF(F215="","",IF(COUNTIF('DS XE - TAI XE'!$B$6:$B$505,F215)&gt;0,"✓ Có","Chưa có trong DS xe"))</f>
        <v/>
      </c>
    </row>
    <row r="216" customFormat="false" ht="15" hidden="false" customHeight="false" outlineLevel="0" collapsed="false">
      <c r="A216" s="12" t="str">
        <f aca="false">IF(F216="","",COUNTA($F$8:F216))</f>
        <v/>
      </c>
      <c r="B216" s="4"/>
      <c r="C216" s="13"/>
      <c r="D216" s="14"/>
      <c r="E216" s="14"/>
      <c r="F216" s="15"/>
      <c r="G216" s="16"/>
      <c r="H216" s="16"/>
      <c r="I216" s="17" t="str">
        <f aca="false">IF(OR(G216="",H216=""),"",H216-G216)</f>
        <v/>
      </c>
      <c r="J216" s="4"/>
      <c r="K216" s="4"/>
      <c r="L216" s="18" t="str">
        <f aca="false">IF(F216="","",IF(COUNTIF('DS XE - TAI XE'!$B$6:$B$505,F216)&gt;0,"✓ Có","Chưa có trong DS xe"))</f>
        <v/>
      </c>
    </row>
    <row r="217" customFormat="false" ht="15" hidden="false" customHeight="false" outlineLevel="0" collapsed="false">
      <c r="A217" s="12" t="str">
        <f aca="false">IF(F217="","",COUNTA($F$8:F217))</f>
        <v/>
      </c>
      <c r="B217" s="4"/>
      <c r="C217" s="13"/>
      <c r="D217" s="14"/>
      <c r="E217" s="14"/>
      <c r="F217" s="15"/>
      <c r="G217" s="16"/>
      <c r="H217" s="16"/>
      <c r="I217" s="17" t="str">
        <f aca="false">IF(OR(G217="",H217=""),"",H217-G217)</f>
        <v/>
      </c>
      <c r="J217" s="4"/>
      <c r="K217" s="4"/>
      <c r="L217" s="18" t="str">
        <f aca="false">IF(F217="","",IF(COUNTIF('DS XE - TAI XE'!$B$6:$B$505,F217)&gt;0,"✓ Có","Chưa có trong DS xe"))</f>
        <v/>
      </c>
    </row>
    <row r="218" customFormat="false" ht="15" hidden="false" customHeight="false" outlineLevel="0" collapsed="false">
      <c r="A218" s="12" t="str">
        <f aca="false">IF(F218="","",COUNTA($F$8:F218))</f>
        <v/>
      </c>
      <c r="B218" s="4"/>
      <c r="C218" s="13"/>
      <c r="D218" s="14"/>
      <c r="E218" s="14"/>
      <c r="F218" s="15"/>
      <c r="G218" s="16"/>
      <c r="H218" s="16"/>
      <c r="I218" s="17" t="str">
        <f aca="false">IF(OR(G218="",H218=""),"",H218-G218)</f>
        <v/>
      </c>
      <c r="J218" s="4"/>
      <c r="K218" s="4"/>
      <c r="L218" s="18" t="str">
        <f aca="false">IF(F218="","",IF(COUNTIF('DS XE - TAI XE'!$B$6:$B$505,F218)&gt;0,"✓ Có","Chưa có trong DS xe"))</f>
        <v/>
      </c>
    </row>
    <row r="219" customFormat="false" ht="15" hidden="false" customHeight="false" outlineLevel="0" collapsed="false">
      <c r="A219" s="12" t="str">
        <f aca="false">IF(F219="","",COUNTA($F$8:F219))</f>
        <v/>
      </c>
      <c r="B219" s="4"/>
      <c r="C219" s="13"/>
      <c r="D219" s="14"/>
      <c r="E219" s="14"/>
      <c r="F219" s="15"/>
      <c r="G219" s="16"/>
      <c r="H219" s="16"/>
      <c r="I219" s="17" t="str">
        <f aca="false">IF(OR(G219="",H219=""),"",H219-G219)</f>
        <v/>
      </c>
      <c r="J219" s="4"/>
      <c r="K219" s="4"/>
      <c r="L219" s="18" t="str">
        <f aca="false">IF(F219="","",IF(COUNTIF('DS XE - TAI XE'!$B$6:$B$505,F219)&gt;0,"✓ Có","Chưa có trong DS xe"))</f>
        <v/>
      </c>
    </row>
    <row r="220" customFormat="false" ht="15" hidden="false" customHeight="false" outlineLevel="0" collapsed="false">
      <c r="A220" s="12" t="str">
        <f aca="false">IF(F220="","",COUNTA($F$8:F220))</f>
        <v/>
      </c>
      <c r="B220" s="4"/>
      <c r="C220" s="13"/>
      <c r="D220" s="14"/>
      <c r="E220" s="14"/>
      <c r="F220" s="15"/>
      <c r="G220" s="16"/>
      <c r="H220" s="16"/>
      <c r="I220" s="17" t="str">
        <f aca="false">IF(OR(G220="",H220=""),"",H220-G220)</f>
        <v/>
      </c>
      <c r="J220" s="4"/>
      <c r="K220" s="4"/>
      <c r="L220" s="18" t="str">
        <f aca="false">IF(F220="","",IF(COUNTIF('DS XE - TAI XE'!$B$6:$B$505,F220)&gt;0,"✓ Có","Chưa có trong DS xe"))</f>
        <v/>
      </c>
    </row>
    <row r="221" customFormat="false" ht="15" hidden="false" customHeight="false" outlineLevel="0" collapsed="false">
      <c r="A221" s="12" t="str">
        <f aca="false">IF(F221="","",COUNTA($F$8:F221))</f>
        <v/>
      </c>
      <c r="B221" s="4"/>
      <c r="C221" s="13"/>
      <c r="D221" s="14"/>
      <c r="E221" s="14"/>
      <c r="F221" s="15"/>
      <c r="G221" s="16"/>
      <c r="H221" s="16"/>
      <c r="I221" s="17" t="str">
        <f aca="false">IF(OR(G221="",H221=""),"",H221-G221)</f>
        <v/>
      </c>
      <c r="J221" s="4"/>
      <c r="K221" s="4"/>
      <c r="L221" s="18" t="str">
        <f aca="false">IF(F221="","",IF(COUNTIF('DS XE - TAI XE'!$B$6:$B$505,F221)&gt;0,"✓ Có","Chưa có trong DS xe"))</f>
        <v/>
      </c>
    </row>
    <row r="222" customFormat="false" ht="15" hidden="false" customHeight="false" outlineLevel="0" collapsed="false">
      <c r="A222" s="12" t="str">
        <f aca="false">IF(F222="","",COUNTA($F$8:F222))</f>
        <v/>
      </c>
      <c r="B222" s="4"/>
      <c r="C222" s="13"/>
      <c r="D222" s="14"/>
      <c r="E222" s="14"/>
      <c r="F222" s="15"/>
      <c r="G222" s="16"/>
      <c r="H222" s="16"/>
      <c r="I222" s="17" t="str">
        <f aca="false">IF(OR(G222="",H222=""),"",H222-G222)</f>
        <v/>
      </c>
      <c r="J222" s="4"/>
      <c r="K222" s="4"/>
      <c r="L222" s="18" t="str">
        <f aca="false">IF(F222="","",IF(COUNTIF('DS XE - TAI XE'!$B$6:$B$505,F222)&gt;0,"✓ Có","Chưa có trong DS xe"))</f>
        <v/>
      </c>
    </row>
    <row r="223" customFormat="false" ht="15" hidden="false" customHeight="false" outlineLevel="0" collapsed="false">
      <c r="A223" s="12" t="str">
        <f aca="false">IF(F223="","",COUNTA($F$8:F223))</f>
        <v/>
      </c>
      <c r="B223" s="4"/>
      <c r="C223" s="13"/>
      <c r="D223" s="14"/>
      <c r="E223" s="14"/>
      <c r="F223" s="15"/>
      <c r="G223" s="16"/>
      <c r="H223" s="16"/>
      <c r="I223" s="17" t="str">
        <f aca="false">IF(OR(G223="",H223=""),"",H223-G223)</f>
        <v/>
      </c>
      <c r="J223" s="4"/>
      <c r="K223" s="4"/>
      <c r="L223" s="18" t="str">
        <f aca="false">IF(F223="","",IF(COUNTIF('DS XE - TAI XE'!$B$6:$B$505,F223)&gt;0,"✓ Có","Chưa có trong DS xe"))</f>
        <v/>
      </c>
    </row>
    <row r="224" customFormat="false" ht="15" hidden="false" customHeight="false" outlineLevel="0" collapsed="false">
      <c r="A224" s="12" t="str">
        <f aca="false">IF(F224="","",COUNTA($F$8:F224))</f>
        <v/>
      </c>
      <c r="B224" s="4"/>
      <c r="C224" s="13"/>
      <c r="D224" s="14"/>
      <c r="E224" s="14"/>
      <c r="F224" s="15"/>
      <c r="G224" s="16"/>
      <c r="H224" s="16"/>
      <c r="I224" s="17" t="str">
        <f aca="false">IF(OR(G224="",H224=""),"",H224-G224)</f>
        <v/>
      </c>
      <c r="J224" s="4"/>
      <c r="K224" s="4"/>
      <c r="L224" s="18" t="str">
        <f aca="false">IF(F224="","",IF(COUNTIF('DS XE - TAI XE'!$B$6:$B$505,F224)&gt;0,"✓ Có","Chưa có trong DS xe"))</f>
        <v/>
      </c>
    </row>
    <row r="225" customFormat="false" ht="15" hidden="false" customHeight="false" outlineLevel="0" collapsed="false">
      <c r="A225" s="12" t="str">
        <f aca="false">IF(F225="","",COUNTA($F$8:F225))</f>
        <v/>
      </c>
      <c r="B225" s="4"/>
      <c r="C225" s="13"/>
      <c r="D225" s="14"/>
      <c r="E225" s="14"/>
      <c r="F225" s="15"/>
      <c r="G225" s="16"/>
      <c r="H225" s="16"/>
      <c r="I225" s="17" t="str">
        <f aca="false">IF(OR(G225="",H225=""),"",H225-G225)</f>
        <v/>
      </c>
      <c r="J225" s="4"/>
      <c r="K225" s="4"/>
      <c r="L225" s="18" t="str">
        <f aca="false">IF(F225="","",IF(COUNTIF('DS XE - TAI XE'!$B$6:$B$505,F225)&gt;0,"✓ Có","Chưa có trong DS xe"))</f>
        <v/>
      </c>
    </row>
    <row r="226" customFormat="false" ht="15" hidden="false" customHeight="false" outlineLevel="0" collapsed="false">
      <c r="A226" s="12" t="str">
        <f aca="false">IF(F226="","",COUNTA($F$8:F226))</f>
        <v/>
      </c>
      <c r="B226" s="4"/>
      <c r="C226" s="13"/>
      <c r="D226" s="14"/>
      <c r="E226" s="14"/>
      <c r="F226" s="15"/>
      <c r="G226" s="16"/>
      <c r="H226" s="16"/>
      <c r="I226" s="17" t="str">
        <f aca="false">IF(OR(G226="",H226=""),"",H226-G226)</f>
        <v/>
      </c>
      <c r="J226" s="4"/>
      <c r="K226" s="4"/>
      <c r="L226" s="18" t="str">
        <f aca="false">IF(F226="","",IF(COUNTIF('DS XE - TAI XE'!$B$6:$B$505,F226)&gt;0,"✓ Có","Chưa có trong DS xe"))</f>
        <v/>
      </c>
    </row>
    <row r="227" customFormat="false" ht="15" hidden="false" customHeight="false" outlineLevel="0" collapsed="false">
      <c r="A227" s="12" t="str">
        <f aca="false">IF(F227="","",COUNTA($F$8:F227))</f>
        <v/>
      </c>
      <c r="B227" s="4"/>
      <c r="C227" s="13"/>
      <c r="D227" s="14"/>
      <c r="E227" s="14"/>
      <c r="F227" s="15"/>
      <c r="G227" s="16"/>
      <c r="H227" s="16"/>
      <c r="I227" s="17" t="str">
        <f aca="false">IF(OR(G227="",H227=""),"",H227-G227)</f>
        <v/>
      </c>
      <c r="J227" s="4"/>
      <c r="K227" s="4"/>
      <c r="L227" s="18" t="str">
        <f aca="false">IF(F227="","",IF(COUNTIF('DS XE - TAI XE'!$B$6:$B$505,F227)&gt;0,"✓ Có","Chưa có trong DS xe"))</f>
        <v/>
      </c>
    </row>
    <row r="228" customFormat="false" ht="15" hidden="false" customHeight="false" outlineLevel="0" collapsed="false">
      <c r="A228" s="12" t="str">
        <f aca="false">IF(F228="","",COUNTA($F$8:F228))</f>
        <v/>
      </c>
      <c r="B228" s="4"/>
      <c r="C228" s="13"/>
      <c r="D228" s="14"/>
      <c r="E228" s="14"/>
      <c r="F228" s="15"/>
      <c r="G228" s="16"/>
      <c r="H228" s="16"/>
      <c r="I228" s="17" t="str">
        <f aca="false">IF(OR(G228="",H228=""),"",H228-G228)</f>
        <v/>
      </c>
      <c r="J228" s="4"/>
      <c r="K228" s="4"/>
      <c r="L228" s="18" t="str">
        <f aca="false">IF(F228="","",IF(COUNTIF('DS XE - TAI XE'!$B$6:$B$505,F228)&gt;0,"✓ Có","Chưa có trong DS xe"))</f>
        <v/>
      </c>
    </row>
    <row r="229" customFormat="false" ht="15" hidden="false" customHeight="false" outlineLevel="0" collapsed="false">
      <c r="A229" s="12" t="str">
        <f aca="false">IF(F229="","",COUNTA($F$8:F229))</f>
        <v/>
      </c>
      <c r="B229" s="4"/>
      <c r="C229" s="13"/>
      <c r="D229" s="14"/>
      <c r="E229" s="14"/>
      <c r="F229" s="15"/>
      <c r="G229" s="16"/>
      <c r="H229" s="16"/>
      <c r="I229" s="17" t="str">
        <f aca="false">IF(OR(G229="",H229=""),"",H229-G229)</f>
        <v/>
      </c>
      <c r="J229" s="4"/>
      <c r="K229" s="4"/>
      <c r="L229" s="18" t="str">
        <f aca="false">IF(F229="","",IF(COUNTIF('DS XE - TAI XE'!$B$6:$B$505,F229)&gt;0,"✓ Có","Chưa có trong DS xe"))</f>
        <v/>
      </c>
    </row>
    <row r="230" customFormat="false" ht="15" hidden="false" customHeight="false" outlineLevel="0" collapsed="false">
      <c r="A230" s="12" t="str">
        <f aca="false">IF(F230="","",COUNTA($F$8:F230))</f>
        <v/>
      </c>
      <c r="B230" s="4"/>
      <c r="C230" s="13"/>
      <c r="D230" s="14"/>
      <c r="E230" s="14"/>
      <c r="F230" s="15"/>
      <c r="G230" s="16"/>
      <c r="H230" s="16"/>
      <c r="I230" s="17" t="str">
        <f aca="false">IF(OR(G230="",H230=""),"",H230-G230)</f>
        <v/>
      </c>
      <c r="J230" s="4"/>
      <c r="K230" s="4"/>
      <c r="L230" s="18" t="str">
        <f aca="false">IF(F230="","",IF(COUNTIF('DS XE - TAI XE'!$B$6:$B$505,F230)&gt;0,"✓ Có","Chưa có trong DS xe"))</f>
        <v/>
      </c>
    </row>
    <row r="231" customFormat="false" ht="15" hidden="false" customHeight="false" outlineLevel="0" collapsed="false">
      <c r="A231" s="12" t="str">
        <f aca="false">IF(F231="","",COUNTA($F$8:F231))</f>
        <v/>
      </c>
      <c r="B231" s="4"/>
      <c r="C231" s="13"/>
      <c r="D231" s="14"/>
      <c r="E231" s="14"/>
      <c r="F231" s="15"/>
      <c r="G231" s="16"/>
      <c r="H231" s="16"/>
      <c r="I231" s="17" t="str">
        <f aca="false">IF(OR(G231="",H231=""),"",H231-G231)</f>
        <v/>
      </c>
      <c r="J231" s="4"/>
      <c r="K231" s="4"/>
      <c r="L231" s="18" t="str">
        <f aca="false">IF(F231="","",IF(COUNTIF('DS XE - TAI XE'!$B$6:$B$505,F231)&gt;0,"✓ Có","Chưa có trong DS xe"))</f>
        <v/>
      </c>
    </row>
    <row r="232" customFormat="false" ht="15" hidden="false" customHeight="false" outlineLevel="0" collapsed="false">
      <c r="A232" s="12" t="str">
        <f aca="false">IF(F232="","",COUNTA($F$8:F232))</f>
        <v/>
      </c>
      <c r="B232" s="4"/>
      <c r="C232" s="13"/>
      <c r="D232" s="14"/>
      <c r="E232" s="14"/>
      <c r="F232" s="15"/>
      <c r="G232" s="16"/>
      <c r="H232" s="16"/>
      <c r="I232" s="17" t="str">
        <f aca="false">IF(OR(G232="",H232=""),"",H232-G232)</f>
        <v/>
      </c>
      <c r="J232" s="4"/>
      <c r="K232" s="4"/>
      <c r="L232" s="18" t="str">
        <f aca="false">IF(F232="","",IF(COUNTIF('DS XE - TAI XE'!$B$6:$B$505,F232)&gt;0,"✓ Có","Chưa có trong DS xe"))</f>
        <v/>
      </c>
    </row>
    <row r="233" customFormat="false" ht="15" hidden="false" customHeight="false" outlineLevel="0" collapsed="false">
      <c r="A233" s="12" t="str">
        <f aca="false">IF(F233="","",COUNTA($F$8:F233))</f>
        <v/>
      </c>
      <c r="B233" s="4"/>
      <c r="C233" s="13"/>
      <c r="D233" s="14"/>
      <c r="E233" s="14"/>
      <c r="F233" s="15"/>
      <c r="G233" s="16"/>
      <c r="H233" s="16"/>
      <c r="I233" s="17" t="str">
        <f aca="false">IF(OR(G233="",H233=""),"",H233-G233)</f>
        <v/>
      </c>
      <c r="J233" s="4"/>
      <c r="K233" s="4"/>
      <c r="L233" s="18" t="str">
        <f aca="false">IF(F233="","",IF(COUNTIF('DS XE - TAI XE'!$B$6:$B$505,F233)&gt;0,"✓ Có","Chưa có trong DS xe"))</f>
        <v/>
      </c>
    </row>
    <row r="234" customFormat="false" ht="15" hidden="false" customHeight="false" outlineLevel="0" collapsed="false">
      <c r="A234" s="12" t="str">
        <f aca="false">IF(F234="","",COUNTA($F$8:F234))</f>
        <v/>
      </c>
      <c r="B234" s="4"/>
      <c r="C234" s="13"/>
      <c r="D234" s="14"/>
      <c r="E234" s="14"/>
      <c r="F234" s="15"/>
      <c r="G234" s="16"/>
      <c r="H234" s="16"/>
      <c r="I234" s="17" t="str">
        <f aca="false">IF(OR(G234="",H234=""),"",H234-G234)</f>
        <v/>
      </c>
      <c r="J234" s="4"/>
      <c r="K234" s="4"/>
      <c r="L234" s="18" t="str">
        <f aca="false">IF(F234="","",IF(COUNTIF('DS XE - TAI XE'!$B$6:$B$505,F234)&gt;0,"✓ Có","Chưa có trong DS xe"))</f>
        <v/>
      </c>
    </row>
    <row r="235" customFormat="false" ht="15" hidden="false" customHeight="false" outlineLevel="0" collapsed="false">
      <c r="A235" s="12" t="str">
        <f aca="false">IF(F235="","",COUNTA($F$8:F235))</f>
        <v/>
      </c>
      <c r="B235" s="4"/>
      <c r="C235" s="13"/>
      <c r="D235" s="14"/>
      <c r="E235" s="14"/>
      <c r="F235" s="15"/>
      <c r="G235" s="16"/>
      <c r="H235" s="16"/>
      <c r="I235" s="17" t="str">
        <f aca="false">IF(OR(G235="",H235=""),"",H235-G235)</f>
        <v/>
      </c>
      <c r="J235" s="4"/>
      <c r="K235" s="4"/>
      <c r="L235" s="18" t="str">
        <f aca="false">IF(F235="","",IF(COUNTIF('DS XE - TAI XE'!$B$6:$B$505,F235)&gt;0,"✓ Có","Chưa có trong DS xe"))</f>
        <v/>
      </c>
    </row>
    <row r="236" customFormat="false" ht="15" hidden="false" customHeight="false" outlineLevel="0" collapsed="false">
      <c r="A236" s="12" t="str">
        <f aca="false">IF(F236="","",COUNTA($F$8:F236))</f>
        <v/>
      </c>
      <c r="B236" s="4"/>
      <c r="C236" s="13"/>
      <c r="D236" s="14"/>
      <c r="E236" s="14"/>
      <c r="F236" s="15"/>
      <c r="G236" s="16"/>
      <c r="H236" s="16"/>
      <c r="I236" s="17" t="str">
        <f aca="false">IF(OR(G236="",H236=""),"",H236-G236)</f>
        <v/>
      </c>
      <c r="J236" s="4"/>
      <c r="K236" s="4"/>
      <c r="L236" s="18" t="str">
        <f aca="false">IF(F236="","",IF(COUNTIF('DS XE - TAI XE'!$B$6:$B$505,F236)&gt;0,"✓ Có","Chưa có trong DS xe"))</f>
        <v/>
      </c>
    </row>
    <row r="237" customFormat="false" ht="15" hidden="false" customHeight="false" outlineLevel="0" collapsed="false">
      <c r="A237" s="12" t="str">
        <f aca="false">IF(F237="","",COUNTA($F$8:F237))</f>
        <v/>
      </c>
      <c r="B237" s="4"/>
      <c r="C237" s="13"/>
      <c r="D237" s="14"/>
      <c r="E237" s="14"/>
      <c r="F237" s="15"/>
      <c r="G237" s="16"/>
      <c r="H237" s="16"/>
      <c r="I237" s="17" t="str">
        <f aca="false">IF(OR(G237="",H237=""),"",H237-G237)</f>
        <v/>
      </c>
      <c r="J237" s="4"/>
      <c r="K237" s="4"/>
      <c r="L237" s="18" t="str">
        <f aca="false">IF(F237="","",IF(COUNTIF('DS XE - TAI XE'!$B$6:$B$505,F237)&gt;0,"✓ Có","Chưa có trong DS xe"))</f>
        <v/>
      </c>
    </row>
    <row r="238" customFormat="false" ht="15" hidden="false" customHeight="false" outlineLevel="0" collapsed="false">
      <c r="A238" s="12" t="str">
        <f aca="false">IF(F238="","",COUNTA($F$8:F238))</f>
        <v/>
      </c>
      <c r="B238" s="4"/>
      <c r="C238" s="13"/>
      <c r="D238" s="14"/>
      <c r="E238" s="14"/>
      <c r="F238" s="15"/>
      <c r="G238" s="16"/>
      <c r="H238" s="16"/>
      <c r="I238" s="17" t="str">
        <f aca="false">IF(OR(G238="",H238=""),"",H238-G238)</f>
        <v/>
      </c>
      <c r="J238" s="4"/>
      <c r="K238" s="4"/>
      <c r="L238" s="18" t="str">
        <f aca="false">IF(F238="","",IF(COUNTIF('DS XE - TAI XE'!$B$6:$B$505,F238)&gt;0,"✓ Có","Chưa có trong DS xe"))</f>
        <v/>
      </c>
    </row>
    <row r="239" customFormat="false" ht="15" hidden="false" customHeight="false" outlineLevel="0" collapsed="false">
      <c r="A239" s="12" t="str">
        <f aca="false">IF(F239="","",COUNTA($F$8:F239))</f>
        <v/>
      </c>
      <c r="B239" s="4"/>
      <c r="C239" s="13"/>
      <c r="D239" s="14"/>
      <c r="E239" s="14"/>
      <c r="F239" s="15"/>
      <c r="G239" s="16"/>
      <c r="H239" s="16"/>
      <c r="I239" s="17" t="str">
        <f aca="false">IF(OR(G239="",H239=""),"",H239-G239)</f>
        <v/>
      </c>
      <c r="J239" s="4"/>
      <c r="K239" s="4"/>
      <c r="L239" s="18" t="str">
        <f aca="false">IF(F239="","",IF(COUNTIF('DS XE - TAI XE'!$B$6:$B$505,F239)&gt;0,"✓ Có","Chưa có trong DS xe"))</f>
        <v/>
      </c>
    </row>
    <row r="240" customFormat="false" ht="15" hidden="false" customHeight="false" outlineLevel="0" collapsed="false">
      <c r="A240" s="12" t="str">
        <f aca="false">IF(F240="","",COUNTA($F$8:F240))</f>
        <v/>
      </c>
      <c r="B240" s="4"/>
      <c r="C240" s="13"/>
      <c r="D240" s="14"/>
      <c r="E240" s="14"/>
      <c r="F240" s="15"/>
      <c r="G240" s="16"/>
      <c r="H240" s="16"/>
      <c r="I240" s="17" t="str">
        <f aca="false">IF(OR(G240="",H240=""),"",H240-G240)</f>
        <v/>
      </c>
      <c r="J240" s="4"/>
      <c r="K240" s="4"/>
      <c r="L240" s="18" t="str">
        <f aca="false">IF(F240="","",IF(COUNTIF('DS XE - TAI XE'!$B$6:$B$505,F240)&gt;0,"✓ Có","Chưa có trong DS xe"))</f>
        <v/>
      </c>
    </row>
    <row r="241" customFormat="false" ht="15" hidden="false" customHeight="false" outlineLevel="0" collapsed="false">
      <c r="A241" s="12" t="str">
        <f aca="false">IF(F241="","",COUNTA($F$8:F241))</f>
        <v/>
      </c>
      <c r="B241" s="4"/>
      <c r="C241" s="13"/>
      <c r="D241" s="14"/>
      <c r="E241" s="14"/>
      <c r="F241" s="15"/>
      <c r="G241" s="16"/>
      <c r="H241" s="16"/>
      <c r="I241" s="17" t="str">
        <f aca="false">IF(OR(G241="",H241=""),"",H241-G241)</f>
        <v/>
      </c>
      <c r="J241" s="4"/>
      <c r="K241" s="4"/>
      <c r="L241" s="18" t="str">
        <f aca="false">IF(F241="","",IF(COUNTIF('DS XE - TAI XE'!$B$6:$B$505,F241)&gt;0,"✓ Có","Chưa có trong DS xe"))</f>
        <v/>
      </c>
    </row>
    <row r="242" customFormat="false" ht="15" hidden="false" customHeight="false" outlineLevel="0" collapsed="false">
      <c r="A242" s="12" t="str">
        <f aca="false">IF(F242="","",COUNTA($F$8:F242))</f>
        <v/>
      </c>
      <c r="B242" s="4"/>
      <c r="C242" s="13"/>
      <c r="D242" s="14"/>
      <c r="E242" s="14"/>
      <c r="F242" s="15"/>
      <c r="G242" s="16"/>
      <c r="H242" s="16"/>
      <c r="I242" s="17" t="str">
        <f aca="false">IF(OR(G242="",H242=""),"",H242-G242)</f>
        <v/>
      </c>
      <c r="J242" s="4"/>
      <c r="K242" s="4"/>
      <c r="L242" s="18" t="str">
        <f aca="false">IF(F242="","",IF(COUNTIF('DS XE - TAI XE'!$B$6:$B$505,F242)&gt;0,"✓ Có","Chưa có trong DS xe"))</f>
        <v/>
      </c>
    </row>
    <row r="243" customFormat="false" ht="15" hidden="false" customHeight="false" outlineLevel="0" collapsed="false">
      <c r="A243" s="12" t="str">
        <f aca="false">IF(F243="","",COUNTA($F$8:F243))</f>
        <v/>
      </c>
      <c r="B243" s="4"/>
      <c r="C243" s="13"/>
      <c r="D243" s="14"/>
      <c r="E243" s="14"/>
      <c r="F243" s="15"/>
      <c r="G243" s="16"/>
      <c r="H243" s="16"/>
      <c r="I243" s="17" t="str">
        <f aca="false">IF(OR(G243="",H243=""),"",H243-G243)</f>
        <v/>
      </c>
      <c r="J243" s="4"/>
      <c r="K243" s="4"/>
      <c r="L243" s="18" t="str">
        <f aca="false">IF(F243="","",IF(COUNTIF('DS XE - TAI XE'!$B$6:$B$505,F243)&gt;0,"✓ Có","Chưa có trong DS xe"))</f>
        <v/>
      </c>
    </row>
    <row r="244" customFormat="false" ht="15" hidden="false" customHeight="false" outlineLevel="0" collapsed="false">
      <c r="A244" s="12" t="str">
        <f aca="false">IF(F244="","",COUNTA($F$8:F244))</f>
        <v/>
      </c>
      <c r="B244" s="4"/>
      <c r="C244" s="13"/>
      <c r="D244" s="14"/>
      <c r="E244" s="14"/>
      <c r="F244" s="15"/>
      <c r="G244" s="16"/>
      <c r="H244" s="16"/>
      <c r="I244" s="17" t="str">
        <f aca="false">IF(OR(G244="",H244=""),"",H244-G244)</f>
        <v/>
      </c>
      <c r="J244" s="4"/>
      <c r="K244" s="4"/>
      <c r="L244" s="18" t="str">
        <f aca="false">IF(F244="","",IF(COUNTIF('DS XE - TAI XE'!$B$6:$B$505,F244)&gt;0,"✓ Có","Chưa có trong DS xe"))</f>
        <v/>
      </c>
    </row>
    <row r="245" customFormat="false" ht="15" hidden="false" customHeight="false" outlineLevel="0" collapsed="false">
      <c r="A245" s="12" t="str">
        <f aca="false">IF(F245="","",COUNTA($F$8:F245))</f>
        <v/>
      </c>
      <c r="B245" s="4"/>
      <c r="C245" s="13"/>
      <c r="D245" s="14"/>
      <c r="E245" s="14"/>
      <c r="F245" s="15"/>
      <c r="G245" s="16"/>
      <c r="H245" s="16"/>
      <c r="I245" s="17" t="str">
        <f aca="false">IF(OR(G245="",H245=""),"",H245-G245)</f>
        <v/>
      </c>
      <c r="J245" s="4"/>
      <c r="K245" s="4"/>
      <c r="L245" s="18" t="str">
        <f aca="false">IF(F245="","",IF(COUNTIF('DS XE - TAI XE'!$B$6:$B$505,F245)&gt;0,"✓ Có","Chưa có trong DS xe"))</f>
        <v/>
      </c>
    </row>
    <row r="246" customFormat="false" ht="15" hidden="false" customHeight="false" outlineLevel="0" collapsed="false">
      <c r="A246" s="12" t="str">
        <f aca="false">IF(F246="","",COUNTA($F$8:F246))</f>
        <v/>
      </c>
      <c r="B246" s="4"/>
      <c r="C246" s="13"/>
      <c r="D246" s="14"/>
      <c r="E246" s="14"/>
      <c r="F246" s="15"/>
      <c r="G246" s="16"/>
      <c r="H246" s="16"/>
      <c r="I246" s="17" t="str">
        <f aca="false">IF(OR(G246="",H246=""),"",H246-G246)</f>
        <v/>
      </c>
      <c r="J246" s="4"/>
      <c r="K246" s="4"/>
      <c r="L246" s="18" t="str">
        <f aca="false">IF(F246="","",IF(COUNTIF('DS XE - TAI XE'!$B$6:$B$505,F246)&gt;0,"✓ Có","Chưa có trong DS xe"))</f>
        <v/>
      </c>
    </row>
    <row r="247" customFormat="false" ht="15" hidden="false" customHeight="false" outlineLevel="0" collapsed="false">
      <c r="A247" s="12" t="str">
        <f aca="false">IF(F247="","",COUNTA($F$8:F247))</f>
        <v/>
      </c>
      <c r="B247" s="4"/>
      <c r="C247" s="13"/>
      <c r="D247" s="14"/>
      <c r="E247" s="14"/>
      <c r="F247" s="15"/>
      <c r="G247" s="16"/>
      <c r="H247" s="16"/>
      <c r="I247" s="17" t="str">
        <f aca="false">IF(OR(G247="",H247=""),"",H247-G247)</f>
        <v/>
      </c>
      <c r="J247" s="4"/>
      <c r="K247" s="4"/>
      <c r="L247" s="18" t="str">
        <f aca="false">IF(F247="","",IF(COUNTIF('DS XE - TAI XE'!$B$6:$B$505,F247)&gt;0,"✓ Có","Chưa có trong DS xe"))</f>
        <v/>
      </c>
    </row>
    <row r="248" customFormat="false" ht="15" hidden="false" customHeight="false" outlineLevel="0" collapsed="false">
      <c r="A248" s="12" t="str">
        <f aca="false">IF(F248="","",COUNTA($F$8:F248))</f>
        <v/>
      </c>
      <c r="B248" s="4"/>
      <c r="C248" s="13"/>
      <c r="D248" s="14"/>
      <c r="E248" s="14"/>
      <c r="F248" s="15"/>
      <c r="G248" s="16"/>
      <c r="H248" s="16"/>
      <c r="I248" s="17" t="str">
        <f aca="false">IF(OR(G248="",H248=""),"",H248-G248)</f>
        <v/>
      </c>
      <c r="J248" s="4"/>
      <c r="K248" s="4"/>
      <c r="L248" s="18" t="str">
        <f aca="false">IF(F248="","",IF(COUNTIF('DS XE - TAI XE'!$B$6:$B$505,F248)&gt;0,"✓ Có","Chưa có trong DS xe"))</f>
        <v/>
      </c>
    </row>
    <row r="249" customFormat="false" ht="15" hidden="false" customHeight="false" outlineLevel="0" collapsed="false">
      <c r="A249" s="12" t="str">
        <f aca="false">IF(F249="","",COUNTA($F$8:F249))</f>
        <v/>
      </c>
      <c r="B249" s="4"/>
      <c r="C249" s="13"/>
      <c r="D249" s="14"/>
      <c r="E249" s="14"/>
      <c r="F249" s="15"/>
      <c r="G249" s="16"/>
      <c r="H249" s="16"/>
      <c r="I249" s="17" t="str">
        <f aca="false">IF(OR(G249="",H249=""),"",H249-G249)</f>
        <v/>
      </c>
      <c r="J249" s="4"/>
      <c r="K249" s="4"/>
      <c r="L249" s="18" t="str">
        <f aca="false">IF(F249="","",IF(COUNTIF('DS XE - TAI XE'!$B$6:$B$505,F249)&gt;0,"✓ Có","Chưa có trong DS xe"))</f>
        <v/>
      </c>
    </row>
    <row r="250" customFormat="false" ht="15" hidden="false" customHeight="false" outlineLevel="0" collapsed="false">
      <c r="A250" s="12" t="str">
        <f aca="false">IF(F250="","",COUNTA($F$8:F250))</f>
        <v/>
      </c>
      <c r="B250" s="4"/>
      <c r="C250" s="13"/>
      <c r="D250" s="14"/>
      <c r="E250" s="14"/>
      <c r="F250" s="15"/>
      <c r="G250" s="16"/>
      <c r="H250" s="16"/>
      <c r="I250" s="17" t="str">
        <f aca="false">IF(OR(G250="",H250=""),"",H250-G250)</f>
        <v/>
      </c>
      <c r="J250" s="4"/>
      <c r="K250" s="4"/>
      <c r="L250" s="18" t="str">
        <f aca="false">IF(F250="","",IF(COUNTIF('DS XE - TAI XE'!$B$6:$B$505,F250)&gt;0,"✓ Có","Chưa có trong DS xe"))</f>
        <v/>
      </c>
    </row>
    <row r="251" customFormat="false" ht="15" hidden="false" customHeight="false" outlineLevel="0" collapsed="false">
      <c r="A251" s="12" t="str">
        <f aca="false">IF(F251="","",COUNTA($F$8:F251))</f>
        <v/>
      </c>
      <c r="B251" s="4"/>
      <c r="C251" s="13"/>
      <c r="D251" s="14"/>
      <c r="E251" s="14"/>
      <c r="F251" s="15"/>
      <c r="G251" s="16"/>
      <c r="H251" s="16"/>
      <c r="I251" s="17" t="str">
        <f aca="false">IF(OR(G251="",H251=""),"",H251-G251)</f>
        <v/>
      </c>
      <c r="J251" s="4"/>
      <c r="K251" s="4"/>
      <c r="L251" s="18" t="str">
        <f aca="false">IF(F251="","",IF(COUNTIF('DS XE - TAI XE'!$B$6:$B$505,F251)&gt;0,"✓ Có","Chưa có trong DS xe"))</f>
        <v/>
      </c>
    </row>
    <row r="252" customFormat="false" ht="15" hidden="false" customHeight="false" outlineLevel="0" collapsed="false">
      <c r="A252" s="12" t="str">
        <f aca="false">IF(F252="","",COUNTA($F$8:F252))</f>
        <v/>
      </c>
      <c r="B252" s="4"/>
      <c r="C252" s="13"/>
      <c r="D252" s="14"/>
      <c r="E252" s="14"/>
      <c r="F252" s="15"/>
      <c r="G252" s="16"/>
      <c r="H252" s="16"/>
      <c r="I252" s="17" t="str">
        <f aca="false">IF(OR(G252="",H252=""),"",H252-G252)</f>
        <v/>
      </c>
      <c r="J252" s="4"/>
      <c r="K252" s="4"/>
      <c r="L252" s="18" t="str">
        <f aca="false">IF(F252="","",IF(COUNTIF('DS XE - TAI XE'!$B$6:$B$505,F252)&gt;0,"✓ Có","Chưa có trong DS xe"))</f>
        <v/>
      </c>
    </row>
    <row r="253" customFormat="false" ht="15" hidden="false" customHeight="false" outlineLevel="0" collapsed="false">
      <c r="A253" s="12" t="str">
        <f aca="false">IF(F253="","",COUNTA($F$8:F253))</f>
        <v/>
      </c>
      <c r="B253" s="4"/>
      <c r="C253" s="13"/>
      <c r="D253" s="14"/>
      <c r="E253" s="14"/>
      <c r="F253" s="15"/>
      <c r="G253" s="16"/>
      <c r="H253" s="16"/>
      <c r="I253" s="17" t="str">
        <f aca="false">IF(OR(G253="",H253=""),"",H253-G253)</f>
        <v/>
      </c>
      <c r="J253" s="4"/>
      <c r="K253" s="4"/>
      <c r="L253" s="18" t="str">
        <f aca="false">IF(F253="","",IF(COUNTIF('DS XE - TAI XE'!$B$6:$B$505,F253)&gt;0,"✓ Có","Chưa có trong DS xe"))</f>
        <v/>
      </c>
    </row>
    <row r="254" customFormat="false" ht="15" hidden="false" customHeight="false" outlineLevel="0" collapsed="false">
      <c r="A254" s="12" t="str">
        <f aca="false">IF(F254="","",COUNTA($F$8:F254))</f>
        <v/>
      </c>
      <c r="B254" s="4"/>
      <c r="C254" s="13"/>
      <c r="D254" s="14"/>
      <c r="E254" s="14"/>
      <c r="F254" s="15"/>
      <c r="G254" s="16"/>
      <c r="H254" s="16"/>
      <c r="I254" s="17" t="str">
        <f aca="false">IF(OR(G254="",H254=""),"",H254-G254)</f>
        <v/>
      </c>
      <c r="J254" s="4"/>
      <c r="K254" s="4"/>
      <c r="L254" s="18" t="str">
        <f aca="false">IF(F254="","",IF(COUNTIF('DS XE - TAI XE'!$B$6:$B$505,F254)&gt;0,"✓ Có","Chưa có trong DS xe"))</f>
        <v/>
      </c>
    </row>
    <row r="255" customFormat="false" ht="15" hidden="false" customHeight="false" outlineLevel="0" collapsed="false">
      <c r="A255" s="12" t="str">
        <f aca="false">IF(F255="","",COUNTA($F$8:F255))</f>
        <v/>
      </c>
      <c r="B255" s="4"/>
      <c r="C255" s="13"/>
      <c r="D255" s="14"/>
      <c r="E255" s="14"/>
      <c r="F255" s="15"/>
      <c r="G255" s="16"/>
      <c r="H255" s="16"/>
      <c r="I255" s="17" t="str">
        <f aca="false">IF(OR(G255="",H255=""),"",H255-G255)</f>
        <v/>
      </c>
      <c r="J255" s="4"/>
      <c r="K255" s="4"/>
      <c r="L255" s="18" t="str">
        <f aca="false">IF(F255="","",IF(COUNTIF('DS XE - TAI XE'!$B$6:$B$505,F255)&gt;0,"✓ Có","Chưa có trong DS xe"))</f>
        <v/>
      </c>
    </row>
    <row r="256" customFormat="false" ht="15" hidden="false" customHeight="false" outlineLevel="0" collapsed="false">
      <c r="A256" s="12" t="str">
        <f aca="false">IF(F256="","",COUNTA($F$8:F256))</f>
        <v/>
      </c>
      <c r="B256" s="4"/>
      <c r="C256" s="13"/>
      <c r="D256" s="14"/>
      <c r="E256" s="14"/>
      <c r="F256" s="15"/>
      <c r="G256" s="16"/>
      <c r="H256" s="16"/>
      <c r="I256" s="17" t="str">
        <f aca="false">IF(OR(G256="",H256=""),"",H256-G256)</f>
        <v/>
      </c>
      <c r="J256" s="4"/>
      <c r="K256" s="4"/>
      <c r="L256" s="18" t="str">
        <f aca="false">IF(F256="","",IF(COUNTIF('DS XE - TAI XE'!$B$6:$B$505,F256)&gt;0,"✓ Có","Chưa có trong DS xe"))</f>
        <v/>
      </c>
    </row>
    <row r="257" customFormat="false" ht="15" hidden="false" customHeight="false" outlineLevel="0" collapsed="false">
      <c r="A257" s="12" t="str">
        <f aca="false">IF(F257="","",COUNTA($F$8:F257))</f>
        <v/>
      </c>
      <c r="B257" s="4"/>
      <c r="C257" s="13"/>
      <c r="D257" s="14"/>
      <c r="E257" s="14"/>
      <c r="F257" s="15"/>
      <c r="G257" s="16"/>
      <c r="H257" s="16"/>
      <c r="I257" s="17" t="str">
        <f aca="false">IF(OR(G257="",H257=""),"",H257-G257)</f>
        <v/>
      </c>
      <c r="J257" s="4"/>
      <c r="K257" s="4"/>
      <c r="L257" s="18" t="str">
        <f aca="false">IF(F257="","",IF(COUNTIF('DS XE - TAI XE'!$B$6:$B$505,F257)&gt;0,"✓ Có","Chưa có trong DS xe"))</f>
        <v/>
      </c>
    </row>
    <row r="258" customFormat="false" ht="15" hidden="false" customHeight="false" outlineLevel="0" collapsed="false">
      <c r="A258" s="12" t="str">
        <f aca="false">IF(F258="","",COUNTA($F$8:F258))</f>
        <v/>
      </c>
      <c r="B258" s="4"/>
      <c r="C258" s="13"/>
      <c r="D258" s="14"/>
      <c r="E258" s="14"/>
      <c r="F258" s="15"/>
      <c r="G258" s="16"/>
      <c r="H258" s="16"/>
      <c r="I258" s="17" t="str">
        <f aca="false">IF(OR(G258="",H258=""),"",H258-G258)</f>
        <v/>
      </c>
      <c r="J258" s="4"/>
      <c r="K258" s="4"/>
      <c r="L258" s="18" t="str">
        <f aca="false">IF(F258="","",IF(COUNTIF('DS XE - TAI XE'!$B$6:$B$505,F258)&gt;0,"✓ Có","Chưa có trong DS xe"))</f>
        <v/>
      </c>
    </row>
    <row r="259" customFormat="false" ht="15" hidden="false" customHeight="false" outlineLevel="0" collapsed="false">
      <c r="A259" s="12" t="str">
        <f aca="false">IF(F259="","",COUNTA($F$8:F259))</f>
        <v/>
      </c>
      <c r="B259" s="4"/>
      <c r="C259" s="13"/>
      <c r="D259" s="14"/>
      <c r="E259" s="14"/>
      <c r="F259" s="15"/>
      <c r="G259" s="16"/>
      <c r="H259" s="16"/>
      <c r="I259" s="17" t="str">
        <f aca="false">IF(OR(G259="",H259=""),"",H259-G259)</f>
        <v/>
      </c>
      <c r="J259" s="4"/>
      <c r="K259" s="4"/>
      <c r="L259" s="18" t="str">
        <f aca="false">IF(F259="","",IF(COUNTIF('DS XE - TAI XE'!$B$6:$B$505,F259)&gt;0,"✓ Có","Chưa có trong DS xe"))</f>
        <v/>
      </c>
    </row>
    <row r="260" customFormat="false" ht="15" hidden="false" customHeight="false" outlineLevel="0" collapsed="false">
      <c r="A260" s="12" t="str">
        <f aca="false">IF(F260="","",COUNTA($F$8:F260))</f>
        <v/>
      </c>
      <c r="B260" s="4"/>
      <c r="C260" s="13"/>
      <c r="D260" s="14"/>
      <c r="E260" s="14"/>
      <c r="F260" s="15"/>
      <c r="G260" s="16"/>
      <c r="H260" s="16"/>
      <c r="I260" s="17" t="str">
        <f aca="false">IF(OR(G260="",H260=""),"",H260-G260)</f>
        <v/>
      </c>
      <c r="J260" s="4"/>
      <c r="K260" s="4"/>
      <c r="L260" s="18" t="str">
        <f aca="false">IF(F260="","",IF(COUNTIF('DS XE - TAI XE'!$B$6:$B$505,F260)&gt;0,"✓ Có","Chưa có trong DS xe"))</f>
        <v/>
      </c>
    </row>
    <row r="261" customFormat="false" ht="15" hidden="false" customHeight="false" outlineLevel="0" collapsed="false">
      <c r="A261" s="12" t="str">
        <f aca="false">IF(F261="","",COUNTA($F$8:F261))</f>
        <v/>
      </c>
      <c r="B261" s="4"/>
      <c r="C261" s="13"/>
      <c r="D261" s="14"/>
      <c r="E261" s="14"/>
      <c r="F261" s="15"/>
      <c r="G261" s="16"/>
      <c r="H261" s="16"/>
      <c r="I261" s="17" t="str">
        <f aca="false">IF(OR(G261="",H261=""),"",H261-G261)</f>
        <v/>
      </c>
      <c r="J261" s="4"/>
      <c r="K261" s="4"/>
      <c r="L261" s="18" t="str">
        <f aca="false">IF(F261="","",IF(COUNTIF('DS XE - TAI XE'!$B$6:$B$505,F261)&gt;0,"✓ Có","Chưa có trong DS xe"))</f>
        <v/>
      </c>
    </row>
    <row r="262" customFormat="false" ht="15" hidden="false" customHeight="false" outlineLevel="0" collapsed="false">
      <c r="A262" s="12" t="str">
        <f aca="false">IF(F262="","",COUNTA($F$8:F262))</f>
        <v/>
      </c>
      <c r="B262" s="4"/>
      <c r="C262" s="13"/>
      <c r="D262" s="14"/>
      <c r="E262" s="14"/>
      <c r="F262" s="15"/>
      <c r="G262" s="16"/>
      <c r="H262" s="16"/>
      <c r="I262" s="17" t="str">
        <f aca="false">IF(OR(G262="",H262=""),"",H262-G262)</f>
        <v/>
      </c>
      <c r="J262" s="4"/>
      <c r="K262" s="4"/>
      <c r="L262" s="18" t="str">
        <f aca="false">IF(F262="","",IF(COUNTIF('DS XE - TAI XE'!$B$6:$B$505,F262)&gt;0,"✓ Có","Chưa có trong DS xe"))</f>
        <v/>
      </c>
    </row>
    <row r="263" customFormat="false" ht="15" hidden="false" customHeight="false" outlineLevel="0" collapsed="false">
      <c r="A263" s="12" t="str">
        <f aca="false">IF(F263="","",COUNTA($F$8:F263))</f>
        <v/>
      </c>
      <c r="B263" s="4"/>
      <c r="C263" s="13"/>
      <c r="D263" s="14"/>
      <c r="E263" s="14"/>
      <c r="F263" s="15"/>
      <c r="G263" s="16"/>
      <c r="H263" s="16"/>
      <c r="I263" s="17" t="str">
        <f aca="false">IF(OR(G263="",H263=""),"",H263-G263)</f>
        <v/>
      </c>
      <c r="J263" s="4"/>
      <c r="K263" s="4"/>
      <c r="L263" s="18" t="str">
        <f aca="false">IF(F263="","",IF(COUNTIF('DS XE - TAI XE'!$B$6:$B$505,F263)&gt;0,"✓ Có","Chưa có trong DS xe"))</f>
        <v/>
      </c>
    </row>
    <row r="264" customFormat="false" ht="15" hidden="false" customHeight="false" outlineLevel="0" collapsed="false">
      <c r="A264" s="12" t="str">
        <f aca="false">IF(F264="","",COUNTA($F$8:F264))</f>
        <v/>
      </c>
      <c r="B264" s="4"/>
      <c r="C264" s="13"/>
      <c r="D264" s="14"/>
      <c r="E264" s="14"/>
      <c r="F264" s="15"/>
      <c r="G264" s="16"/>
      <c r="H264" s="16"/>
      <c r="I264" s="17" t="str">
        <f aca="false">IF(OR(G264="",H264=""),"",H264-G264)</f>
        <v/>
      </c>
      <c r="J264" s="4"/>
      <c r="K264" s="4"/>
      <c r="L264" s="18" t="str">
        <f aca="false">IF(F264="","",IF(COUNTIF('DS XE - TAI XE'!$B$6:$B$505,F264)&gt;0,"✓ Có","Chưa có trong DS xe"))</f>
        <v/>
      </c>
    </row>
    <row r="265" customFormat="false" ht="15" hidden="false" customHeight="false" outlineLevel="0" collapsed="false">
      <c r="A265" s="12" t="str">
        <f aca="false">IF(F265="","",COUNTA($F$8:F265))</f>
        <v/>
      </c>
      <c r="B265" s="4"/>
      <c r="C265" s="13"/>
      <c r="D265" s="14"/>
      <c r="E265" s="14"/>
      <c r="F265" s="15"/>
      <c r="G265" s="16"/>
      <c r="H265" s="16"/>
      <c r="I265" s="17" t="str">
        <f aca="false">IF(OR(G265="",H265=""),"",H265-G265)</f>
        <v/>
      </c>
      <c r="J265" s="4"/>
      <c r="K265" s="4"/>
      <c r="L265" s="18" t="str">
        <f aca="false">IF(F265="","",IF(COUNTIF('DS XE - TAI XE'!$B$6:$B$505,F265)&gt;0,"✓ Có","Chưa có trong DS xe"))</f>
        <v/>
      </c>
    </row>
    <row r="266" customFormat="false" ht="15" hidden="false" customHeight="false" outlineLevel="0" collapsed="false">
      <c r="A266" s="12" t="str">
        <f aca="false">IF(F266="","",COUNTA($F$8:F266))</f>
        <v/>
      </c>
      <c r="B266" s="4"/>
      <c r="C266" s="13"/>
      <c r="D266" s="14"/>
      <c r="E266" s="14"/>
      <c r="F266" s="15"/>
      <c r="G266" s="16"/>
      <c r="H266" s="16"/>
      <c r="I266" s="17" t="str">
        <f aca="false">IF(OR(G266="",H266=""),"",H266-G266)</f>
        <v/>
      </c>
      <c r="J266" s="4"/>
      <c r="K266" s="4"/>
      <c r="L266" s="18" t="str">
        <f aca="false">IF(F266="","",IF(COUNTIF('DS XE - TAI XE'!$B$6:$B$505,F266)&gt;0,"✓ Có","Chưa có trong DS xe"))</f>
        <v/>
      </c>
    </row>
    <row r="267" customFormat="false" ht="15" hidden="false" customHeight="false" outlineLevel="0" collapsed="false">
      <c r="A267" s="12" t="str">
        <f aca="false">IF(F267="","",COUNTA($F$8:F267))</f>
        <v/>
      </c>
      <c r="B267" s="4"/>
      <c r="C267" s="13"/>
      <c r="D267" s="14"/>
      <c r="E267" s="14"/>
      <c r="F267" s="15"/>
      <c r="G267" s="16"/>
      <c r="H267" s="16"/>
      <c r="I267" s="17" t="str">
        <f aca="false">IF(OR(G267="",H267=""),"",H267-G267)</f>
        <v/>
      </c>
      <c r="J267" s="4"/>
      <c r="K267" s="4"/>
      <c r="L267" s="18" t="str">
        <f aca="false">IF(F267="","",IF(COUNTIF('DS XE - TAI XE'!$B$6:$B$505,F267)&gt;0,"✓ Có","Chưa có trong DS xe"))</f>
        <v/>
      </c>
    </row>
    <row r="268" customFormat="false" ht="15" hidden="false" customHeight="false" outlineLevel="0" collapsed="false">
      <c r="A268" s="12" t="str">
        <f aca="false">IF(F268="","",COUNTA($F$8:F268))</f>
        <v/>
      </c>
      <c r="B268" s="4"/>
      <c r="C268" s="13"/>
      <c r="D268" s="14"/>
      <c r="E268" s="14"/>
      <c r="F268" s="15"/>
      <c r="G268" s="16"/>
      <c r="H268" s="16"/>
      <c r="I268" s="17" t="str">
        <f aca="false">IF(OR(G268="",H268=""),"",H268-G268)</f>
        <v/>
      </c>
      <c r="J268" s="4"/>
      <c r="K268" s="4"/>
      <c r="L268" s="18" t="str">
        <f aca="false">IF(F268="","",IF(COUNTIF('DS XE - TAI XE'!$B$6:$B$505,F268)&gt;0,"✓ Có","Chưa có trong DS xe"))</f>
        <v/>
      </c>
    </row>
    <row r="269" customFormat="false" ht="15" hidden="false" customHeight="false" outlineLevel="0" collapsed="false">
      <c r="A269" s="12" t="str">
        <f aca="false">IF(F269="","",COUNTA($F$8:F269))</f>
        <v/>
      </c>
      <c r="B269" s="4"/>
      <c r="C269" s="13"/>
      <c r="D269" s="14"/>
      <c r="E269" s="14"/>
      <c r="F269" s="15"/>
      <c r="G269" s="16"/>
      <c r="H269" s="16"/>
      <c r="I269" s="17" t="str">
        <f aca="false">IF(OR(G269="",H269=""),"",H269-G269)</f>
        <v/>
      </c>
      <c r="J269" s="4"/>
      <c r="K269" s="4"/>
      <c r="L269" s="18" t="str">
        <f aca="false">IF(F269="","",IF(COUNTIF('DS XE - TAI XE'!$B$6:$B$505,F269)&gt;0,"✓ Có","Chưa có trong DS xe"))</f>
        <v/>
      </c>
    </row>
    <row r="270" customFormat="false" ht="15" hidden="false" customHeight="false" outlineLevel="0" collapsed="false">
      <c r="A270" s="12" t="str">
        <f aca="false">IF(F270="","",COUNTA($F$8:F270))</f>
        <v/>
      </c>
      <c r="B270" s="4"/>
      <c r="C270" s="13"/>
      <c r="D270" s="14"/>
      <c r="E270" s="14"/>
      <c r="F270" s="15"/>
      <c r="G270" s="16"/>
      <c r="H270" s="16"/>
      <c r="I270" s="17" t="str">
        <f aca="false">IF(OR(G270="",H270=""),"",H270-G270)</f>
        <v/>
      </c>
      <c r="J270" s="4"/>
      <c r="K270" s="4"/>
      <c r="L270" s="18" t="str">
        <f aca="false">IF(F270="","",IF(COUNTIF('DS XE - TAI XE'!$B$6:$B$505,F270)&gt;0,"✓ Có","Chưa có trong DS xe"))</f>
        <v/>
      </c>
    </row>
    <row r="271" customFormat="false" ht="15" hidden="false" customHeight="false" outlineLevel="0" collapsed="false">
      <c r="A271" s="12" t="str">
        <f aca="false">IF(F271="","",COUNTA($F$8:F271))</f>
        <v/>
      </c>
      <c r="B271" s="4"/>
      <c r="C271" s="13"/>
      <c r="D271" s="14"/>
      <c r="E271" s="14"/>
      <c r="F271" s="15"/>
      <c r="G271" s="16"/>
      <c r="H271" s="16"/>
      <c r="I271" s="17" t="str">
        <f aca="false">IF(OR(G271="",H271=""),"",H271-G271)</f>
        <v/>
      </c>
      <c r="J271" s="4"/>
      <c r="K271" s="4"/>
      <c r="L271" s="18" t="str">
        <f aca="false">IF(F271="","",IF(COUNTIF('DS XE - TAI XE'!$B$6:$B$505,F271)&gt;0,"✓ Có","Chưa có trong DS xe"))</f>
        <v/>
      </c>
    </row>
    <row r="272" customFormat="false" ht="15" hidden="false" customHeight="false" outlineLevel="0" collapsed="false">
      <c r="A272" s="12" t="str">
        <f aca="false">IF(F272="","",COUNTA($F$8:F272))</f>
        <v/>
      </c>
      <c r="B272" s="4"/>
      <c r="C272" s="13"/>
      <c r="D272" s="14"/>
      <c r="E272" s="14"/>
      <c r="F272" s="15"/>
      <c r="G272" s="16"/>
      <c r="H272" s="16"/>
      <c r="I272" s="17" t="str">
        <f aca="false">IF(OR(G272="",H272=""),"",H272-G272)</f>
        <v/>
      </c>
      <c r="J272" s="4"/>
      <c r="K272" s="4"/>
      <c r="L272" s="18" t="str">
        <f aca="false">IF(F272="","",IF(COUNTIF('DS XE - TAI XE'!$B$6:$B$505,F272)&gt;0,"✓ Có","Chưa có trong DS xe"))</f>
        <v/>
      </c>
    </row>
    <row r="273" customFormat="false" ht="15" hidden="false" customHeight="false" outlineLevel="0" collapsed="false">
      <c r="A273" s="12" t="str">
        <f aca="false">IF(F273="","",COUNTA($F$8:F273))</f>
        <v/>
      </c>
      <c r="B273" s="4"/>
      <c r="C273" s="13"/>
      <c r="D273" s="14"/>
      <c r="E273" s="14"/>
      <c r="F273" s="15"/>
      <c r="G273" s="16"/>
      <c r="H273" s="16"/>
      <c r="I273" s="17" t="str">
        <f aca="false">IF(OR(G273="",H273=""),"",H273-G273)</f>
        <v/>
      </c>
      <c r="J273" s="4"/>
      <c r="K273" s="4"/>
      <c r="L273" s="18" t="str">
        <f aca="false">IF(F273="","",IF(COUNTIF('DS XE - TAI XE'!$B$6:$B$505,F273)&gt;0,"✓ Có","Chưa có trong DS xe"))</f>
        <v/>
      </c>
    </row>
    <row r="274" customFormat="false" ht="15" hidden="false" customHeight="false" outlineLevel="0" collapsed="false">
      <c r="A274" s="12" t="str">
        <f aca="false">IF(F274="","",COUNTA($F$8:F274))</f>
        <v/>
      </c>
      <c r="B274" s="4"/>
      <c r="C274" s="13"/>
      <c r="D274" s="14"/>
      <c r="E274" s="14"/>
      <c r="F274" s="15"/>
      <c r="G274" s="16"/>
      <c r="H274" s="16"/>
      <c r="I274" s="17" t="str">
        <f aca="false">IF(OR(G274="",H274=""),"",H274-G274)</f>
        <v/>
      </c>
      <c r="J274" s="4"/>
      <c r="K274" s="4"/>
      <c r="L274" s="18" t="str">
        <f aca="false">IF(F274="","",IF(COUNTIF('DS XE - TAI XE'!$B$6:$B$505,F274)&gt;0,"✓ Có","Chưa có trong DS xe"))</f>
        <v/>
      </c>
    </row>
    <row r="275" customFormat="false" ht="15" hidden="false" customHeight="false" outlineLevel="0" collapsed="false">
      <c r="A275" s="12" t="str">
        <f aca="false">IF(F275="","",COUNTA($F$8:F275))</f>
        <v/>
      </c>
      <c r="B275" s="4"/>
      <c r="C275" s="13"/>
      <c r="D275" s="14"/>
      <c r="E275" s="14"/>
      <c r="F275" s="15"/>
      <c r="G275" s="16"/>
      <c r="H275" s="16"/>
      <c r="I275" s="17" t="str">
        <f aca="false">IF(OR(G275="",H275=""),"",H275-G275)</f>
        <v/>
      </c>
      <c r="J275" s="4"/>
      <c r="K275" s="4"/>
      <c r="L275" s="18" t="str">
        <f aca="false">IF(F275="","",IF(COUNTIF('DS XE - TAI XE'!$B$6:$B$505,F275)&gt;0,"✓ Có","Chưa có trong DS xe"))</f>
        <v/>
      </c>
    </row>
    <row r="276" customFormat="false" ht="15" hidden="false" customHeight="false" outlineLevel="0" collapsed="false">
      <c r="A276" s="12" t="str">
        <f aca="false">IF(F276="","",COUNTA($F$8:F276))</f>
        <v/>
      </c>
      <c r="B276" s="4"/>
      <c r="C276" s="13"/>
      <c r="D276" s="14"/>
      <c r="E276" s="14"/>
      <c r="F276" s="15"/>
      <c r="G276" s="16"/>
      <c r="H276" s="16"/>
      <c r="I276" s="17" t="str">
        <f aca="false">IF(OR(G276="",H276=""),"",H276-G276)</f>
        <v/>
      </c>
      <c r="J276" s="4"/>
      <c r="K276" s="4"/>
      <c r="L276" s="18" t="str">
        <f aca="false">IF(F276="","",IF(COUNTIF('DS XE - TAI XE'!$B$6:$B$505,F276)&gt;0,"✓ Có","Chưa có trong DS xe"))</f>
        <v/>
      </c>
    </row>
    <row r="277" customFormat="false" ht="15" hidden="false" customHeight="false" outlineLevel="0" collapsed="false">
      <c r="A277" s="12" t="str">
        <f aca="false">IF(F277="","",COUNTA($F$8:F277))</f>
        <v/>
      </c>
      <c r="B277" s="4"/>
      <c r="C277" s="13"/>
      <c r="D277" s="14"/>
      <c r="E277" s="14"/>
      <c r="F277" s="15"/>
      <c r="G277" s="16"/>
      <c r="H277" s="16"/>
      <c r="I277" s="17" t="str">
        <f aca="false">IF(OR(G277="",H277=""),"",H277-G277)</f>
        <v/>
      </c>
      <c r="J277" s="4"/>
      <c r="K277" s="4"/>
      <c r="L277" s="18" t="str">
        <f aca="false">IF(F277="","",IF(COUNTIF('DS XE - TAI XE'!$B$6:$B$505,F277)&gt;0,"✓ Có","Chưa có trong DS xe"))</f>
        <v/>
      </c>
    </row>
    <row r="278" customFormat="false" ht="15" hidden="false" customHeight="false" outlineLevel="0" collapsed="false">
      <c r="A278" s="12" t="str">
        <f aca="false">IF(F278="","",COUNTA($F$8:F278))</f>
        <v/>
      </c>
      <c r="B278" s="4"/>
      <c r="C278" s="13"/>
      <c r="D278" s="14"/>
      <c r="E278" s="14"/>
      <c r="F278" s="15"/>
      <c r="G278" s="16"/>
      <c r="H278" s="16"/>
      <c r="I278" s="17" t="str">
        <f aca="false">IF(OR(G278="",H278=""),"",H278-G278)</f>
        <v/>
      </c>
      <c r="J278" s="4"/>
      <c r="K278" s="4"/>
      <c r="L278" s="18" t="str">
        <f aca="false">IF(F278="","",IF(COUNTIF('DS XE - TAI XE'!$B$6:$B$505,F278)&gt;0,"✓ Có","Chưa có trong DS xe"))</f>
        <v/>
      </c>
    </row>
    <row r="279" customFormat="false" ht="15" hidden="false" customHeight="false" outlineLevel="0" collapsed="false">
      <c r="A279" s="12" t="str">
        <f aca="false">IF(F279="","",COUNTA($F$8:F279))</f>
        <v/>
      </c>
      <c r="B279" s="4"/>
      <c r="C279" s="13"/>
      <c r="D279" s="14"/>
      <c r="E279" s="14"/>
      <c r="F279" s="15"/>
      <c r="G279" s="16"/>
      <c r="H279" s="16"/>
      <c r="I279" s="17" t="str">
        <f aca="false">IF(OR(G279="",H279=""),"",H279-G279)</f>
        <v/>
      </c>
      <c r="J279" s="4"/>
      <c r="K279" s="4"/>
      <c r="L279" s="18" t="str">
        <f aca="false">IF(F279="","",IF(COUNTIF('DS XE - TAI XE'!$B$6:$B$505,F279)&gt;0,"✓ Có","Chưa có trong DS xe"))</f>
        <v/>
      </c>
    </row>
    <row r="280" customFormat="false" ht="15" hidden="false" customHeight="false" outlineLevel="0" collapsed="false">
      <c r="A280" s="12" t="str">
        <f aca="false">IF(F280="","",COUNTA($F$8:F280))</f>
        <v/>
      </c>
      <c r="B280" s="4"/>
      <c r="C280" s="13"/>
      <c r="D280" s="14"/>
      <c r="E280" s="14"/>
      <c r="F280" s="15"/>
      <c r="G280" s="16"/>
      <c r="H280" s="16"/>
      <c r="I280" s="17" t="str">
        <f aca="false">IF(OR(G280="",H280=""),"",H280-G280)</f>
        <v/>
      </c>
      <c r="J280" s="4"/>
      <c r="K280" s="4"/>
      <c r="L280" s="18" t="str">
        <f aca="false">IF(F280="","",IF(COUNTIF('DS XE - TAI XE'!$B$6:$B$505,F280)&gt;0,"✓ Có","Chưa có trong DS xe"))</f>
        <v/>
      </c>
    </row>
    <row r="281" customFormat="false" ht="15" hidden="false" customHeight="false" outlineLevel="0" collapsed="false">
      <c r="A281" s="12" t="str">
        <f aca="false">IF(F281="","",COUNTA($F$8:F281))</f>
        <v/>
      </c>
      <c r="B281" s="4"/>
      <c r="C281" s="13"/>
      <c r="D281" s="14"/>
      <c r="E281" s="14"/>
      <c r="F281" s="15"/>
      <c r="G281" s="16"/>
      <c r="H281" s="16"/>
      <c r="I281" s="17" t="str">
        <f aca="false">IF(OR(G281="",H281=""),"",H281-G281)</f>
        <v/>
      </c>
      <c r="J281" s="4"/>
      <c r="K281" s="4"/>
      <c r="L281" s="18" t="str">
        <f aca="false">IF(F281="","",IF(COUNTIF('DS XE - TAI XE'!$B$6:$B$505,F281)&gt;0,"✓ Có","Chưa có trong DS xe"))</f>
        <v/>
      </c>
    </row>
    <row r="282" customFormat="false" ht="15" hidden="false" customHeight="false" outlineLevel="0" collapsed="false">
      <c r="A282" s="12" t="str">
        <f aca="false">IF(F282="","",COUNTA($F$8:F282))</f>
        <v/>
      </c>
      <c r="B282" s="4"/>
      <c r="C282" s="13"/>
      <c r="D282" s="14"/>
      <c r="E282" s="14"/>
      <c r="F282" s="15"/>
      <c r="G282" s="16"/>
      <c r="H282" s="16"/>
      <c r="I282" s="17" t="str">
        <f aca="false">IF(OR(G282="",H282=""),"",H282-G282)</f>
        <v/>
      </c>
      <c r="J282" s="4"/>
      <c r="K282" s="4"/>
      <c r="L282" s="18" t="str">
        <f aca="false">IF(F282="","",IF(COUNTIF('DS XE - TAI XE'!$B$6:$B$505,F282)&gt;0,"✓ Có","Chưa có trong DS xe"))</f>
        <v/>
      </c>
    </row>
    <row r="283" customFormat="false" ht="15" hidden="false" customHeight="false" outlineLevel="0" collapsed="false">
      <c r="A283" s="12" t="str">
        <f aca="false">IF(F283="","",COUNTA($F$8:F283))</f>
        <v/>
      </c>
      <c r="B283" s="4"/>
      <c r="C283" s="13"/>
      <c r="D283" s="14"/>
      <c r="E283" s="14"/>
      <c r="F283" s="15"/>
      <c r="G283" s="16"/>
      <c r="H283" s="16"/>
      <c r="I283" s="17" t="str">
        <f aca="false">IF(OR(G283="",H283=""),"",H283-G283)</f>
        <v/>
      </c>
      <c r="J283" s="4"/>
      <c r="K283" s="4"/>
      <c r="L283" s="18" t="str">
        <f aca="false">IF(F283="","",IF(COUNTIF('DS XE - TAI XE'!$B$6:$B$505,F283)&gt;0,"✓ Có","Chưa có trong DS xe"))</f>
        <v/>
      </c>
    </row>
    <row r="284" customFormat="false" ht="15" hidden="false" customHeight="false" outlineLevel="0" collapsed="false">
      <c r="A284" s="12" t="str">
        <f aca="false">IF(F284="","",COUNTA($F$8:F284))</f>
        <v/>
      </c>
      <c r="B284" s="4"/>
      <c r="C284" s="13"/>
      <c r="D284" s="14"/>
      <c r="E284" s="14"/>
      <c r="F284" s="15"/>
      <c r="G284" s="16"/>
      <c r="H284" s="16"/>
      <c r="I284" s="17" t="str">
        <f aca="false">IF(OR(G284="",H284=""),"",H284-G284)</f>
        <v/>
      </c>
      <c r="J284" s="4"/>
      <c r="K284" s="4"/>
      <c r="L284" s="18" t="str">
        <f aca="false">IF(F284="","",IF(COUNTIF('DS XE - TAI XE'!$B$6:$B$505,F284)&gt;0,"✓ Có","Chưa có trong DS xe"))</f>
        <v/>
      </c>
    </row>
    <row r="285" customFormat="false" ht="15" hidden="false" customHeight="false" outlineLevel="0" collapsed="false">
      <c r="A285" s="12" t="str">
        <f aca="false">IF(F285="","",COUNTA($F$8:F285))</f>
        <v/>
      </c>
      <c r="B285" s="4"/>
      <c r="C285" s="13"/>
      <c r="D285" s="14"/>
      <c r="E285" s="14"/>
      <c r="F285" s="15"/>
      <c r="G285" s="16"/>
      <c r="H285" s="16"/>
      <c r="I285" s="17" t="str">
        <f aca="false">IF(OR(G285="",H285=""),"",H285-G285)</f>
        <v/>
      </c>
      <c r="J285" s="4"/>
      <c r="K285" s="4"/>
      <c r="L285" s="18" t="str">
        <f aca="false">IF(F285="","",IF(COUNTIF('DS XE - TAI XE'!$B$6:$B$505,F285)&gt;0,"✓ Có","Chưa có trong DS xe"))</f>
        <v/>
      </c>
    </row>
    <row r="286" customFormat="false" ht="15" hidden="false" customHeight="false" outlineLevel="0" collapsed="false">
      <c r="A286" s="12" t="str">
        <f aca="false">IF(F286="","",COUNTA($F$8:F286))</f>
        <v/>
      </c>
      <c r="B286" s="4"/>
      <c r="C286" s="13"/>
      <c r="D286" s="14"/>
      <c r="E286" s="14"/>
      <c r="F286" s="15"/>
      <c r="G286" s="16"/>
      <c r="H286" s="16"/>
      <c r="I286" s="17" t="str">
        <f aca="false">IF(OR(G286="",H286=""),"",H286-G286)</f>
        <v/>
      </c>
      <c r="J286" s="4"/>
      <c r="K286" s="4"/>
      <c r="L286" s="18" t="str">
        <f aca="false">IF(F286="","",IF(COUNTIF('DS XE - TAI XE'!$B$6:$B$505,F286)&gt;0,"✓ Có","Chưa có trong DS xe"))</f>
        <v/>
      </c>
    </row>
    <row r="287" customFormat="false" ht="15" hidden="false" customHeight="false" outlineLevel="0" collapsed="false">
      <c r="A287" s="12" t="str">
        <f aca="false">IF(F287="","",COUNTA($F$8:F287))</f>
        <v/>
      </c>
      <c r="B287" s="4"/>
      <c r="C287" s="13"/>
      <c r="D287" s="14"/>
      <c r="E287" s="14"/>
      <c r="F287" s="15"/>
      <c r="G287" s="16"/>
      <c r="H287" s="16"/>
      <c r="I287" s="17" t="str">
        <f aca="false">IF(OR(G287="",H287=""),"",H287-G287)</f>
        <v/>
      </c>
      <c r="J287" s="4"/>
      <c r="K287" s="4"/>
      <c r="L287" s="18" t="str">
        <f aca="false">IF(F287="","",IF(COUNTIF('DS XE - TAI XE'!$B$6:$B$505,F287)&gt;0,"✓ Có","Chưa có trong DS xe"))</f>
        <v/>
      </c>
    </row>
    <row r="288" customFormat="false" ht="15" hidden="false" customHeight="false" outlineLevel="0" collapsed="false">
      <c r="A288" s="12" t="str">
        <f aca="false">IF(F288="","",COUNTA($F$8:F288))</f>
        <v/>
      </c>
      <c r="B288" s="4"/>
      <c r="C288" s="13"/>
      <c r="D288" s="14"/>
      <c r="E288" s="14"/>
      <c r="F288" s="15"/>
      <c r="G288" s="16"/>
      <c r="H288" s="16"/>
      <c r="I288" s="17" t="str">
        <f aca="false">IF(OR(G288="",H288=""),"",H288-G288)</f>
        <v/>
      </c>
      <c r="J288" s="4"/>
      <c r="K288" s="4"/>
      <c r="L288" s="18" t="str">
        <f aca="false">IF(F288="","",IF(COUNTIF('DS XE - TAI XE'!$B$6:$B$505,F288)&gt;0,"✓ Có","Chưa có trong DS xe"))</f>
        <v/>
      </c>
    </row>
    <row r="289" customFormat="false" ht="15" hidden="false" customHeight="false" outlineLevel="0" collapsed="false">
      <c r="A289" s="12" t="str">
        <f aca="false">IF(F289="","",COUNTA($F$8:F289))</f>
        <v/>
      </c>
      <c r="B289" s="4"/>
      <c r="C289" s="13"/>
      <c r="D289" s="14"/>
      <c r="E289" s="14"/>
      <c r="F289" s="15"/>
      <c r="G289" s="16"/>
      <c r="H289" s="16"/>
      <c r="I289" s="17" t="str">
        <f aca="false">IF(OR(G289="",H289=""),"",H289-G289)</f>
        <v/>
      </c>
      <c r="J289" s="4"/>
      <c r="K289" s="4"/>
      <c r="L289" s="18" t="str">
        <f aca="false">IF(F289="","",IF(COUNTIF('DS XE - TAI XE'!$B$6:$B$505,F289)&gt;0,"✓ Có","Chưa có trong DS xe"))</f>
        <v/>
      </c>
    </row>
    <row r="290" customFormat="false" ht="15" hidden="false" customHeight="false" outlineLevel="0" collapsed="false">
      <c r="A290" s="12" t="str">
        <f aca="false">IF(F290="","",COUNTA($F$8:F290))</f>
        <v/>
      </c>
      <c r="B290" s="4"/>
      <c r="C290" s="13"/>
      <c r="D290" s="14"/>
      <c r="E290" s="14"/>
      <c r="F290" s="15"/>
      <c r="G290" s="16"/>
      <c r="H290" s="16"/>
      <c r="I290" s="17" t="str">
        <f aca="false">IF(OR(G290="",H290=""),"",H290-G290)</f>
        <v/>
      </c>
      <c r="J290" s="4"/>
      <c r="K290" s="4"/>
      <c r="L290" s="18" t="str">
        <f aca="false">IF(F290="","",IF(COUNTIF('DS XE - TAI XE'!$B$6:$B$505,F290)&gt;0,"✓ Có","Chưa có trong DS xe"))</f>
        <v/>
      </c>
    </row>
    <row r="291" customFormat="false" ht="15" hidden="false" customHeight="false" outlineLevel="0" collapsed="false">
      <c r="A291" s="12" t="str">
        <f aca="false">IF(F291="","",COUNTA($F$8:F291))</f>
        <v/>
      </c>
      <c r="B291" s="4"/>
      <c r="C291" s="13"/>
      <c r="D291" s="14"/>
      <c r="E291" s="14"/>
      <c r="F291" s="15"/>
      <c r="G291" s="16"/>
      <c r="H291" s="16"/>
      <c r="I291" s="17" t="str">
        <f aca="false">IF(OR(G291="",H291=""),"",H291-G291)</f>
        <v/>
      </c>
      <c r="J291" s="4"/>
      <c r="K291" s="4"/>
      <c r="L291" s="18" t="str">
        <f aca="false">IF(F291="","",IF(COUNTIF('DS XE - TAI XE'!$B$6:$B$505,F291)&gt;0,"✓ Có","Chưa có trong DS xe"))</f>
        <v/>
      </c>
    </row>
    <row r="292" customFormat="false" ht="15" hidden="false" customHeight="false" outlineLevel="0" collapsed="false">
      <c r="A292" s="12" t="str">
        <f aca="false">IF(F292="","",COUNTA($F$8:F292))</f>
        <v/>
      </c>
      <c r="B292" s="4"/>
      <c r="C292" s="13"/>
      <c r="D292" s="14"/>
      <c r="E292" s="14"/>
      <c r="F292" s="15"/>
      <c r="G292" s="16"/>
      <c r="H292" s="16"/>
      <c r="I292" s="17" t="str">
        <f aca="false">IF(OR(G292="",H292=""),"",H292-G292)</f>
        <v/>
      </c>
      <c r="J292" s="4"/>
      <c r="K292" s="4"/>
      <c r="L292" s="18" t="str">
        <f aca="false">IF(F292="","",IF(COUNTIF('DS XE - TAI XE'!$B$6:$B$505,F292)&gt;0,"✓ Có","Chưa có trong DS xe"))</f>
        <v/>
      </c>
    </row>
    <row r="293" customFormat="false" ht="15" hidden="false" customHeight="false" outlineLevel="0" collapsed="false">
      <c r="A293" s="12" t="str">
        <f aca="false">IF(F293="","",COUNTA($F$8:F293))</f>
        <v/>
      </c>
      <c r="B293" s="4"/>
      <c r="C293" s="13"/>
      <c r="D293" s="14"/>
      <c r="E293" s="14"/>
      <c r="F293" s="15"/>
      <c r="G293" s="16"/>
      <c r="H293" s="16"/>
      <c r="I293" s="17" t="str">
        <f aca="false">IF(OR(G293="",H293=""),"",H293-G293)</f>
        <v/>
      </c>
      <c r="J293" s="4"/>
      <c r="K293" s="4"/>
      <c r="L293" s="18" t="str">
        <f aca="false">IF(F293="","",IF(COUNTIF('DS XE - TAI XE'!$B$6:$B$505,F293)&gt;0,"✓ Có","Chưa có trong DS xe"))</f>
        <v/>
      </c>
    </row>
    <row r="294" customFormat="false" ht="15" hidden="false" customHeight="false" outlineLevel="0" collapsed="false">
      <c r="A294" s="12" t="str">
        <f aca="false">IF(F294="","",COUNTA($F$8:F294))</f>
        <v/>
      </c>
      <c r="B294" s="4"/>
      <c r="C294" s="13"/>
      <c r="D294" s="14"/>
      <c r="E294" s="14"/>
      <c r="F294" s="15"/>
      <c r="G294" s="16"/>
      <c r="H294" s="16"/>
      <c r="I294" s="17" t="str">
        <f aca="false">IF(OR(G294="",H294=""),"",H294-G294)</f>
        <v/>
      </c>
      <c r="J294" s="4"/>
      <c r="K294" s="4"/>
      <c r="L294" s="18" t="str">
        <f aca="false">IF(F294="","",IF(COUNTIF('DS XE - TAI XE'!$B$6:$B$505,F294)&gt;0,"✓ Có","Chưa có trong DS xe"))</f>
        <v/>
      </c>
    </row>
    <row r="295" customFormat="false" ht="15" hidden="false" customHeight="false" outlineLevel="0" collapsed="false">
      <c r="A295" s="12" t="str">
        <f aca="false">IF(F295="","",COUNTA($F$8:F295))</f>
        <v/>
      </c>
      <c r="B295" s="4"/>
      <c r="C295" s="13"/>
      <c r="D295" s="14"/>
      <c r="E295" s="14"/>
      <c r="F295" s="15"/>
      <c r="G295" s="16"/>
      <c r="H295" s="16"/>
      <c r="I295" s="17" t="str">
        <f aca="false">IF(OR(G295="",H295=""),"",H295-G295)</f>
        <v/>
      </c>
      <c r="J295" s="4"/>
      <c r="K295" s="4"/>
      <c r="L295" s="18" t="str">
        <f aca="false">IF(F295="","",IF(COUNTIF('DS XE - TAI XE'!$B$6:$B$505,F295)&gt;0,"✓ Có","Chưa có trong DS xe"))</f>
        <v/>
      </c>
    </row>
    <row r="296" customFormat="false" ht="15" hidden="false" customHeight="false" outlineLevel="0" collapsed="false">
      <c r="A296" s="12" t="str">
        <f aca="false">IF(F296="","",COUNTA($F$8:F296))</f>
        <v/>
      </c>
      <c r="B296" s="4"/>
      <c r="C296" s="13"/>
      <c r="D296" s="14"/>
      <c r="E296" s="14"/>
      <c r="F296" s="15"/>
      <c r="G296" s="16"/>
      <c r="H296" s="16"/>
      <c r="I296" s="17" t="str">
        <f aca="false">IF(OR(G296="",H296=""),"",H296-G296)</f>
        <v/>
      </c>
      <c r="J296" s="4"/>
      <c r="K296" s="4"/>
      <c r="L296" s="18" t="str">
        <f aca="false">IF(F296="","",IF(COUNTIF('DS XE - TAI XE'!$B$6:$B$505,F296)&gt;0,"✓ Có","Chưa có trong DS xe"))</f>
        <v/>
      </c>
    </row>
    <row r="297" customFormat="false" ht="15" hidden="false" customHeight="false" outlineLevel="0" collapsed="false">
      <c r="A297" s="12" t="str">
        <f aca="false">IF(F297="","",COUNTA($F$8:F297))</f>
        <v/>
      </c>
      <c r="B297" s="4"/>
      <c r="C297" s="13"/>
      <c r="D297" s="14"/>
      <c r="E297" s="14"/>
      <c r="F297" s="15"/>
      <c r="G297" s="16"/>
      <c r="H297" s="16"/>
      <c r="I297" s="17" t="str">
        <f aca="false">IF(OR(G297="",H297=""),"",H297-G297)</f>
        <v/>
      </c>
      <c r="J297" s="4"/>
      <c r="K297" s="4"/>
      <c r="L297" s="18" t="str">
        <f aca="false">IF(F297="","",IF(COUNTIF('DS XE - TAI XE'!$B$6:$B$505,F297)&gt;0,"✓ Có","Chưa có trong DS xe"))</f>
        <v/>
      </c>
    </row>
    <row r="298" customFormat="false" ht="15" hidden="false" customHeight="false" outlineLevel="0" collapsed="false">
      <c r="A298" s="12" t="str">
        <f aca="false">IF(F298="","",COUNTA($F$8:F298))</f>
        <v/>
      </c>
      <c r="B298" s="4"/>
      <c r="C298" s="13"/>
      <c r="D298" s="14"/>
      <c r="E298" s="14"/>
      <c r="F298" s="15"/>
      <c r="G298" s="16"/>
      <c r="H298" s="16"/>
      <c r="I298" s="17" t="str">
        <f aca="false">IF(OR(G298="",H298=""),"",H298-G298)</f>
        <v/>
      </c>
      <c r="J298" s="4"/>
      <c r="K298" s="4"/>
      <c r="L298" s="18" t="str">
        <f aca="false">IF(F298="","",IF(COUNTIF('DS XE - TAI XE'!$B$6:$B$505,F298)&gt;0,"✓ Có","Chưa có trong DS xe"))</f>
        <v/>
      </c>
    </row>
    <row r="299" customFormat="false" ht="15" hidden="false" customHeight="false" outlineLevel="0" collapsed="false">
      <c r="A299" s="12" t="str">
        <f aca="false">IF(F299="","",COUNTA($F$8:F299))</f>
        <v/>
      </c>
      <c r="B299" s="4"/>
      <c r="C299" s="13"/>
      <c r="D299" s="14"/>
      <c r="E299" s="14"/>
      <c r="F299" s="15"/>
      <c r="G299" s="16"/>
      <c r="H299" s="16"/>
      <c r="I299" s="17" t="str">
        <f aca="false">IF(OR(G299="",H299=""),"",H299-G299)</f>
        <v/>
      </c>
      <c r="J299" s="4"/>
      <c r="K299" s="4"/>
      <c r="L299" s="18" t="str">
        <f aca="false">IF(F299="","",IF(COUNTIF('DS XE - TAI XE'!$B$6:$B$505,F299)&gt;0,"✓ Có","Chưa có trong DS xe"))</f>
        <v/>
      </c>
    </row>
    <row r="300" customFormat="false" ht="15" hidden="false" customHeight="false" outlineLevel="0" collapsed="false">
      <c r="A300" s="12" t="str">
        <f aca="false">IF(F300="","",COUNTA($F$8:F300))</f>
        <v/>
      </c>
      <c r="B300" s="4"/>
      <c r="C300" s="13"/>
      <c r="D300" s="14"/>
      <c r="E300" s="14"/>
      <c r="F300" s="15"/>
      <c r="G300" s="16"/>
      <c r="H300" s="16"/>
      <c r="I300" s="17" t="str">
        <f aca="false">IF(OR(G300="",H300=""),"",H300-G300)</f>
        <v/>
      </c>
      <c r="J300" s="4"/>
      <c r="K300" s="4"/>
      <c r="L300" s="18" t="str">
        <f aca="false">IF(F300="","",IF(COUNTIF('DS XE - TAI XE'!$B$6:$B$505,F300)&gt;0,"✓ Có","Chưa có trong DS xe"))</f>
        <v/>
      </c>
    </row>
    <row r="301" customFormat="false" ht="15" hidden="false" customHeight="false" outlineLevel="0" collapsed="false">
      <c r="A301" s="12" t="str">
        <f aca="false">IF(F301="","",COUNTA($F$8:F301))</f>
        <v/>
      </c>
      <c r="B301" s="4"/>
      <c r="C301" s="13"/>
      <c r="D301" s="14"/>
      <c r="E301" s="14"/>
      <c r="F301" s="15"/>
      <c r="G301" s="16"/>
      <c r="H301" s="16"/>
      <c r="I301" s="17" t="str">
        <f aca="false">IF(OR(G301="",H301=""),"",H301-G301)</f>
        <v/>
      </c>
      <c r="J301" s="4"/>
      <c r="K301" s="4"/>
      <c r="L301" s="18" t="str">
        <f aca="false">IF(F301="","",IF(COUNTIF('DS XE - TAI XE'!$B$6:$B$505,F301)&gt;0,"✓ Có","Chưa có trong DS xe"))</f>
        <v/>
      </c>
    </row>
    <row r="302" customFormat="false" ht="15" hidden="false" customHeight="false" outlineLevel="0" collapsed="false">
      <c r="A302" s="12" t="str">
        <f aca="false">IF(F302="","",COUNTA($F$8:F302))</f>
        <v/>
      </c>
      <c r="B302" s="4"/>
      <c r="C302" s="13"/>
      <c r="D302" s="14"/>
      <c r="E302" s="14"/>
      <c r="F302" s="15"/>
      <c r="G302" s="16"/>
      <c r="H302" s="16"/>
      <c r="I302" s="17" t="str">
        <f aca="false">IF(OR(G302="",H302=""),"",H302-G302)</f>
        <v/>
      </c>
      <c r="J302" s="4"/>
      <c r="K302" s="4"/>
      <c r="L302" s="18" t="str">
        <f aca="false">IF(F302="","",IF(COUNTIF('DS XE - TAI XE'!$B$6:$B$505,F302)&gt;0,"✓ Có","Chưa có trong DS xe"))</f>
        <v/>
      </c>
    </row>
    <row r="303" customFormat="false" ht="15" hidden="false" customHeight="false" outlineLevel="0" collapsed="false">
      <c r="A303" s="12" t="str">
        <f aca="false">IF(F303="","",COUNTA($F$8:F303))</f>
        <v/>
      </c>
      <c r="B303" s="4"/>
      <c r="C303" s="13"/>
      <c r="D303" s="14"/>
      <c r="E303" s="14"/>
      <c r="F303" s="15"/>
      <c r="G303" s="16"/>
      <c r="H303" s="16"/>
      <c r="I303" s="17" t="str">
        <f aca="false">IF(OR(G303="",H303=""),"",H303-G303)</f>
        <v/>
      </c>
      <c r="J303" s="4"/>
      <c r="K303" s="4"/>
      <c r="L303" s="18" t="str">
        <f aca="false">IF(F303="","",IF(COUNTIF('DS XE - TAI XE'!$B$6:$B$505,F303)&gt;0,"✓ Có","Chưa có trong DS xe"))</f>
        <v/>
      </c>
    </row>
    <row r="304" customFormat="false" ht="15" hidden="false" customHeight="false" outlineLevel="0" collapsed="false">
      <c r="A304" s="12" t="str">
        <f aca="false">IF(F304="","",COUNTA($F$8:F304))</f>
        <v/>
      </c>
      <c r="B304" s="4"/>
      <c r="C304" s="13"/>
      <c r="D304" s="14"/>
      <c r="E304" s="14"/>
      <c r="F304" s="15"/>
      <c r="G304" s="16"/>
      <c r="H304" s="16"/>
      <c r="I304" s="17" t="str">
        <f aca="false">IF(OR(G304="",H304=""),"",H304-G304)</f>
        <v/>
      </c>
      <c r="J304" s="4"/>
      <c r="K304" s="4"/>
      <c r="L304" s="18" t="str">
        <f aca="false">IF(F304="","",IF(COUNTIF('DS XE - TAI XE'!$B$6:$B$505,F304)&gt;0,"✓ Có","Chưa có trong DS xe"))</f>
        <v/>
      </c>
    </row>
    <row r="305" customFormat="false" ht="15" hidden="false" customHeight="false" outlineLevel="0" collapsed="false">
      <c r="A305" s="12" t="str">
        <f aca="false">IF(F305="","",COUNTA($F$8:F305))</f>
        <v/>
      </c>
      <c r="B305" s="4"/>
      <c r="C305" s="13"/>
      <c r="D305" s="14"/>
      <c r="E305" s="14"/>
      <c r="F305" s="15"/>
      <c r="G305" s="16"/>
      <c r="H305" s="16"/>
      <c r="I305" s="17" t="str">
        <f aca="false">IF(OR(G305="",H305=""),"",H305-G305)</f>
        <v/>
      </c>
      <c r="J305" s="4"/>
      <c r="K305" s="4"/>
      <c r="L305" s="18" t="str">
        <f aca="false">IF(F305="","",IF(COUNTIF('DS XE - TAI XE'!$B$6:$B$505,F305)&gt;0,"✓ Có","Chưa có trong DS xe"))</f>
        <v/>
      </c>
    </row>
    <row r="306" customFormat="false" ht="15" hidden="false" customHeight="false" outlineLevel="0" collapsed="false">
      <c r="A306" s="12" t="str">
        <f aca="false">IF(F306="","",COUNTA($F$8:F306))</f>
        <v/>
      </c>
      <c r="B306" s="4"/>
      <c r="C306" s="13"/>
      <c r="D306" s="14"/>
      <c r="E306" s="14"/>
      <c r="F306" s="15"/>
      <c r="G306" s="16"/>
      <c r="H306" s="16"/>
      <c r="I306" s="17" t="str">
        <f aca="false">IF(OR(G306="",H306=""),"",H306-G306)</f>
        <v/>
      </c>
      <c r="J306" s="4"/>
      <c r="K306" s="4"/>
      <c r="L306" s="18" t="str">
        <f aca="false">IF(F306="","",IF(COUNTIF('DS XE - TAI XE'!$B$6:$B$505,F306)&gt;0,"✓ Có","Chưa có trong DS xe"))</f>
        <v/>
      </c>
    </row>
    <row r="307" customFormat="false" ht="15" hidden="false" customHeight="false" outlineLevel="0" collapsed="false">
      <c r="A307" s="12" t="str">
        <f aca="false">IF(F307="","",COUNTA($F$8:F307))</f>
        <v/>
      </c>
      <c r="B307" s="4"/>
      <c r="C307" s="13"/>
      <c r="D307" s="14"/>
      <c r="E307" s="14"/>
      <c r="F307" s="15"/>
      <c r="G307" s="16"/>
      <c r="H307" s="16"/>
      <c r="I307" s="17" t="str">
        <f aca="false">IF(OR(G307="",H307=""),"",H307-G307)</f>
        <v/>
      </c>
      <c r="J307" s="4"/>
      <c r="K307" s="4"/>
      <c r="L307" s="18" t="str">
        <f aca="false">IF(F307="","",IF(COUNTIF('DS XE - TAI XE'!$B$6:$B$505,F307)&gt;0,"✓ Có","Chưa có trong DS xe"))</f>
        <v/>
      </c>
    </row>
    <row r="308" customFormat="false" ht="15" hidden="false" customHeight="false" outlineLevel="0" collapsed="false">
      <c r="A308" s="12" t="str">
        <f aca="false">IF(F308="","",COUNTA($F$8:F308))</f>
        <v/>
      </c>
      <c r="B308" s="4"/>
      <c r="C308" s="13"/>
      <c r="D308" s="14"/>
      <c r="E308" s="14"/>
      <c r="F308" s="15"/>
      <c r="G308" s="16"/>
      <c r="H308" s="16"/>
      <c r="I308" s="17" t="str">
        <f aca="false">IF(OR(G308="",H308=""),"",H308-G308)</f>
        <v/>
      </c>
      <c r="J308" s="4"/>
      <c r="K308" s="4"/>
      <c r="L308" s="18" t="str">
        <f aca="false">IF(F308="","",IF(COUNTIF('DS XE - TAI XE'!$B$6:$B$505,F308)&gt;0,"✓ Có","Chưa có trong DS xe"))</f>
        <v/>
      </c>
    </row>
    <row r="309" customFormat="false" ht="15" hidden="false" customHeight="false" outlineLevel="0" collapsed="false">
      <c r="A309" s="12" t="str">
        <f aca="false">IF(F309="","",COUNTA($F$8:F309))</f>
        <v/>
      </c>
      <c r="B309" s="4"/>
      <c r="C309" s="13"/>
      <c r="D309" s="14"/>
      <c r="E309" s="14"/>
      <c r="F309" s="15"/>
      <c r="G309" s="16"/>
      <c r="H309" s="16"/>
      <c r="I309" s="17" t="str">
        <f aca="false">IF(OR(G309="",H309=""),"",H309-G309)</f>
        <v/>
      </c>
      <c r="J309" s="4"/>
      <c r="K309" s="4"/>
      <c r="L309" s="18" t="str">
        <f aca="false">IF(F309="","",IF(COUNTIF('DS XE - TAI XE'!$B$6:$B$505,F309)&gt;0,"✓ Có","Chưa có trong DS xe"))</f>
        <v/>
      </c>
    </row>
    <row r="310" customFormat="false" ht="15" hidden="false" customHeight="false" outlineLevel="0" collapsed="false">
      <c r="A310" s="12" t="str">
        <f aca="false">IF(F310="","",COUNTA($F$8:F310))</f>
        <v/>
      </c>
      <c r="B310" s="4"/>
      <c r="C310" s="13"/>
      <c r="D310" s="14"/>
      <c r="E310" s="14"/>
      <c r="F310" s="15"/>
      <c r="G310" s="16"/>
      <c r="H310" s="16"/>
      <c r="I310" s="17" t="str">
        <f aca="false">IF(OR(G310="",H310=""),"",H310-G310)</f>
        <v/>
      </c>
      <c r="J310" s="4"/>
      <c r="K310" s="4"/>
      <c r="L310" s="18" t="str">
        <f aca="false">IF(F310="","",IF(COUNTIF('DS XE - TAI XE'!$B$6:$B$505,F310)&gt;0,"✓ Có","Chưa có trong DS xe"))</f>
        <v/>
      </c>
    </row>
    <row r="311" customFormat="false" ht="15" hidden="false" customHeight="false" outlineLevel="0" collapsed="false">
      <c r="A311" s="12" t="str">
        <f aca="false">IF(F311="","",COUNTA($F$8:F311))</f>
        <v/>
      </c>
      <c r="B311" s="4"/>
      <c r="C311" s="13"/>
      <c r="D311" s="14"/>
      <c r="E311" s="14"/>
      <c r="F311" s="15"/>
      <c r="G311" s="16"/>
      <c r="H311" s="16"/>
      <c r="I311" s="17" t="str">
        <f aca="false">IF(OR(G311="",H311=""),"",H311-G311)</f>
        <v/>
      </c>
      <c r="J311" s="4"/>
      <c r="K311" s="4"/>
      <c r="L311" s="18" t="str">
        <f aca="false">IF(F311="","",IF(COUNTIF('DS XE - TAI XE'!$B$6:$B$505,F311)&gt;0,"✓ Có","Chưa có trong DS xe"))</f>
        <v/>
      </c>
    </row>
    <row r="312" customFormat="false" ht="15" hidden="false" customHeight="false" outlineLevel="0" collapsed="false">
      <c r="A312" s="12" t="str">
        <f aca="false">IF(F312="","",COUNTA($F$8:F312))</f>
        <v/>
      </c>
      <c r="B312" s="4"/>
      <c r="C312" s="13"/>
      <c r="D312" s="14"/>
      <c r="E312" s="14"/>
      <c r="F312" s="15"/>
      <c r="G312" s="16"/>
      <c r="H312" s="16"/>
      <c r="I312" s="17" t="str">
        <f aca="false">IF(OR(G312="",H312=""),"",H312-G312)</f>
        <v/>
      </c>
      <c r="J312" s="4"/>
      <c r="K312" s="4"/>
      <c r="L312" s="18" t="str">
        <f aca="false">IF(F312="","",IF(COUNTIF('DS XE - TAI XE'!$B$6:$B$505,F312)&gt;0,"✓ Có","Chưa có trong DS xe"))</f>
        <v/>
      </c>
    </row>
    <row r="313" customFormat="false" ht="15" hidden="false" customHeight="false" outlineLevel="0" collapsed="false">
      <c r="A313" s="12" t="str">
        <f aca="false">IF(F313="","",COUNTA($F$8:F313))</f>
        <v/>
      </c>
      <c r="B313" s="4"/>
      <c r="C313" s="13"/>
      <c r="D313" s="14"/>
      <c r="E313" s="14"/>
      <c r="F313" s="15"/>
      <c r="G313" s="16"/>
      <c r="H313" s="16"/>
      <c r="I313" s="17" t="str">
        <f aca="false">IF(OR(G313="",H313=""),"",H313-G313)</f>
        <v/>
      </c>
      <c r="J313" s="4"/>
      <c r="K313" s="4"/>
      <c r="L313" s="18" t="str">
        <f aca="false">IF(F313="","",IF(COUNTIF('DS XE - TAI XE'!$B$6:$B$505,F313)&gt;0,"✓ Có","Chưa có trong DS xe"))</f>
        <v/>
      </c>
    </row>
    <row r="314" customFormat="false" ht="15" hidden="false" customHeight="false" outlineLevel="0" collapsed="false">
      <c r="A314" s="12" t="str">
        <f aca="false">IF(F314="","",COUNTA($F$8:F314))</f>
        <v/>
      </c>
      <c r="B314" s="4"/>
      <c r="C314" s="13"/>
      <c r="D314" s="14"/>
      <c r="E314" s="14"/>
      <c r="F314" s="15"/>
      <c r="G314" s="16"/>
      <c r="H314" s="16"/>
      <c r="I314" s="17" t="str">
        <f aca="false">IF(OR(G314="",H314=""),"",H314-G314)</f>
        <v/>
      </c>
      <c r="J314" s="4"/>
      <c r="K314" s="4"/>
      <c r="L314" s="18" t="str">
        <f aca="false">IF(F314="","",IF(COUNTIF('DS XE - TAI XE'!$B$6:$B$505,F314)&gt;0,"✓ Có","Chưa có trong DS xe"))</f>
        <v/>
      </c>
    </row>
    <row r="315" customFormat="false" ht="15" hidden="false" customHeight="false" outlineLevel="0" collapsed="false">
      <c r="A315" s="12" t="str">
        <f aca="false">IF(F315="","",COUNTA($F$8:F315))</f>
        <v/>
      </c>
      <c r="B315" s="4"/>
      <c r="C315" s="13"/>
      <c r="D315" s="14"/>
      <c r="E315" s="14"/>
      <c r="F315" s="15"/>
      <c r="G315" s="16"/>
      <c r="H315" s="16"/>
      <c r="I315" s="17" t="str">
        <f aca="false">IF(OR(G315="",H315=""),"",H315-G315)</f>
        <v/>
      </c>
      <c r="J315" s="4"/>
      <c r="K315" s="4"/>
      <c r="L315" s="18" t="str">
        <f aca="false">IF(F315="","",IF(COUNTIF('DS XE - TAI XE'!$B$6:$B$505,F315)&gt;0,"✓ Có","Chưa có trong DS xe"))</f>
        <v/>
      </c>
    </row>
    <row r="316" customFormat="false" ht="15" hidden="false" customHeight="false" outlineLevel="0" collapsed="false">
      <c r="A316" s="12" t="str">
        <f aca="false">IF(F316="","",COUNTA($F$8:F316))</f>
        <v/>
      </c>
      <c r="B316" s="4"/>
      <c r="C316" s="13"/>
      <c r="D316" s="14"/>
      <c r="E316" s="14"/>
      <c r="F316" s="15"/>
      <c r="G316" s="16"/>
      <c r="H316" s="16"/>
      <c r="I316" s="17" t="str">
        <f aca="false">IF(OR(G316="",H316=""),"",H316-G316)</f>
        <v/>
      </c>
      <c r="J316" s="4"/>
      <c r="K316" s="4"/>
      <c r="L316" s="18" t="str">
        <f aca="false">IF(F316="","",IF(COUNTIF('DS XE - TAI XE'!$B$6:$B$505,F316)&gt;0,"✓ Có","Chưa có trong DS xe"))</f>
        <v/>
      </c>
    </row>
    <row r="317" customFormat="false" ht="15" hidden="false" customHeight="false" outlineLevel="0" collapsed="false">
      <c r="A317" s="12" t="str">
        <f aca="false">IF(F317="","",COUNTA($F$8:F317))</f>
        <v/>
      </c>
      <c r="B317" s="4"/>
      <c r="C317" s="13"/>
      <c r="D317" s="14"/>
      <c r="E317" s="14"/>
      <c r="F317" s="15"/>
      <c r="G317" s="16"/>
      <c r="H317" s="16"/>
      <c r="I317" s="17" t="str">
        <f aca="false">IF(OR(G317="",H317=""),"",H317-G317)</f>
        <v/>
      </c>
      <c r="J317" s="4"/>
      <c r="K317" s="4"/>
      <c r="L317" s="18" t="str">
        <f aca="false">IF(F317="","",IF(COUNTIF('DS XE - TAI XE'!$B$6:$B$505,F317)&gt;0,"✓ Có","Chưa có trong DS xe"))</f>
        <v/>
      </c>
    </row>
    <row r="318" customFormat="false" ht="15" hidden="false" customHeight="false" outlineLevel="0" collapsed="false">
      <c r="A318" s="12" t="str">
        <f aca="false">IF(F318="","",COUNTA($F$8:F318))</f>
        <v/>
      </c>
      <c r="B318" s="4"/>
      <c r="C318" s="13"/>
      <c r="D318" s="14"/>
      <c r="E318" s="14"/>
      <c r="F318" s="15"/>
      <c r="G318" s="16"/>
      <c r="H318" s="16"/>
      <c r="I318" s="17" t="str">
        <f aca="false">IF(OR(G318="",H318=""),"",H318-G318)</f>
        <v/>
      </c>
      <c r="J318" s="4"/>
      <c r="K318" s="4"/>
      <c r="L318" s="18" t="str">
        <f aca="false">IF(F318="","",IF(COUNTIF('DS XE - TAI XE'!$B$6:$B$505,F318)&gt;0,"✓ Có","Chưa có trong DS xe"))</f>
        <v/>
      </c>
    </row>
    <row r="319" customFormat="false" ht="15" hidden="false" customHeight="false" outlineLevel="0" collapsed="false">
      <c r="A319" s="12" t="str">
        <f aca="false">IF(F319="","",COUNTA($F$8:F319))</f>
        <v/>
      </c>
      <c r="B319" s="4"/>
      <c r="C319" s="13"/>
      <c r="D319" s="14"/>
      <c r="E319" s="14"/>
      <c r="F319" s="15"/>
      <c r="G319" s="16"/>
      <c r="H319" s="16"/>
      <c r="I319" s="17" t="str">
        <f aca="false">IF(OR(G319="",H319=""),"",H319-G319)</f>
        <v/>
      </c>
      <c r="J319" s="4"/>
      <c r="K319" s="4"/>
      <c r="L319" s="18" t="str">
        <f aca="false">IF(F319="","",IF(COUNTIF('DS XE - TAI XE'!$B$6:$B$505,F319)&gt;0,"✓ Có","Chưa có trong DS xe"))</f>
        <v/>
      </c>
    </row>
    <row r="320" customFormat="false" ht="15" hidden="false" customHeight="false" outlineLevel="0" collapsed="false">
      <c r="A320" s="12" t="str">
        <f aca="false">IF(F320="","",COUNTA($F$8:F320))</f>
        <v/>
      </c>
      <c r="B320" s="4"/>
      <c r="C320" s="13"/>
      <c r="D320" s="14"/>
      <c r="E320" s="14"/>
      <c r="F320" s="15"/>
      <c r="G320" s="16"/>
      <c r="H320" s="16"/>
      <c r="I320" s="17" t="str">
        <f aca="false">IF(OR(G320="",H320=""),"",H320-G320)</f>
        <v/>
      </c>
      <c r="J320" s="4"/>
      <c r="K320" s="4"/>
      <c r="L320" s="18" t="str">
        <f aca="false">IF(F320="","",IF(COUNTIF('DS XE - TAI XE'!$B$6:$B$505,F320)&gt;0,"✓ Có","Chưa có trong DS xe"))</f>
        <v/>
      </c>
    </row>
    <row r="321" customFormat="false" ht="15" hidden="false" customHeight="false" outlineLevel="0" collapsed="false">
      <c r="A321" s="12" t="str">
        <f aca="false">IF(F321="","",COUNTA($F$8:F321))</f>
        <v/>
      </c>
      <c r="B321" s="4"/>
      <c r="C321" s="13"/>
      <c r="D321" s="14"/>
      <c r="E321" s="14"/>
      <c r="F321" s="15"/>
      <c r="G321" s="16"/>
      <c r="H321" s="16"/>
      <c r="I321" s="17" t="str">
        <f aca="false">IF(OR(G321="",H321=""),"",H321-G321)</f>
        <v/>
      </c>
      <c r="J321" s="4"/>
      <c r="K321" s="4"/>
      <c r="L321" s="18" t="str">
        <f aca="false">IF(F321="","",IF(COUNTIF('DS XE - TAI XE'!$B$6:$B$505,F321)&gt;0,"✓ Có","Chưa có trong DS xe"))</f>
        <v/>
      </c>
    </row>
    <row r="322" customFormat="false" ht="15" hidden="false" customHeight="false" outlineLevel="0" collapsed="false">
      <c r="A322" s="12" t="str">
        <f aca="false">IF(F322="","",COUNTA($F$8:F322))</f>
        <v/>
      </c>
      <c r="B322" s="4"/>
      <c r="C322" s="13"/>
      <c r="D322" s="14"/>
      <c r="E322" s="14"/>
      <c r="F322" s="15"/>
      <c r="G322" s="16"/>
      <c r="H322" s="16"/>
      <c r="I322" s="17" t="str">
        <f aca="false">IF(OR(G322="",H322=""),"",H322-G322)</f>
        <v/>
      </c>
      <c r="J322" s="4"/>
      <c r="K322" s="4"/>
      <c r="L322" s="18" t="str">
        <f aca="false">IF(F322="","",IF(COUNTIF('DS XE - TAI XE'!$B$6:$B$505,F322)&gt;0,"✓ Có","Chưa có trong DS xe"))</f>
        <v/>
      </c>
    </row>
    <row r="323" customFormat="false" ht="15" hidden="false" customHeight="false" outlineLevel="0" collapsed="false">
      <c r="A323" s="12" t="str">
        <f aca="false">IF(F323="","",COUNTA($F$8:F323))</f>
        <v/>
      </c>
      <c r="B323" s="4"/>
      <c r="C323" s="13"/>
      <c r="D323" s="14"/>
      <c r="E323" s="14"/>
      <c r="F323" s="15"/>
      <c r="G323" s="16"/>
      <c r="H323" s="16"/>
      <c r="I323" s="17" t="str">
        <f aca="false">IF(OR(G323="",H323=""),"",H323-G323)</f>
        <v/>
      </c>
      <c r="J323" s="4"/>
      <c r="K323" s="4"/>
      <c r="L323" s="18" t="str">
        <f aca="false">IF(F323="","",IF(COUNTIF('DS XE - TAI XE'!$B$6:$B$505,F323)&gt;0,"✓ Có","Chưa có trong DS xe"))</f>
        <v/>
      </c>
    </row>
    <row r="324" customFormat="false" ht="15" hidden="false" customHeight="false" outlineLevel="0" collapsed="false">
      <c r="A324" s="12" t="str">
        <f aca="false">IF(F324="","",COUNTA($F$8:F324))</f>
        <v/>
      </c>
      <c r="B324" s="4"/>
      <c r="C324" s="13"/>
      <c r="D324" s="14"/>
      <c r="E324" s="14"/>
      <c r="F324" s="15"/>
      <c r="G324" s="16"/>
      <c r="H324" s="16"/>
      <c r="I324" s="17" t="str">
        <f aca="false">IF(OR(G324="",H324=""),"",H324-G324)</f>
        <v/>
      </c>
      <c r="J324" s="4"/>
      <c r="K324" s="4"/>
      <c r="L324" s="18" t="str">
        <f aca="false">IF(F324="","",IF(COUNTIF('DS XE - TAI XE'!$B$6:$B$505,F324)&gt;0,"✓ Có","Chưa có trong DS xe"))</f>
        <v/>
      </c>
    </row>
    <row r="325" customFormat="false" ht="15" hidden="false" customHeight="false" outlineLevel="0" collapsed="false">
      <c r="A325" s="12" t="str">
        <f aca="false">IF(F325="","",COUNTA($F$8:F325))</f>
        <v/>
      </c>
      <c r="B325" s="4"/>
      <c r="C325" s="13"/>
      <c r="D325" s="14"/>
      <c r="E325" s="14"/>
      <c r="F325" s="15"/>
      <c r="G325" s="16"/>
      <c r="H325" s="16"/>
      <c r="I325" s="17" t="str">
        <f aca="false">IF(OR(G325="",H325=""),"",H325-G325)</f>
        <v/>
      </c>
      <c r="J325" s="4"/>
      <c r="K325" s="4"/>
      <c r="L325" s="18" t="str">
        <f aca="false">IF(F325="","",IF(COUNTIF('DS XE - TAI XE'!$B$6:$B$505,F325)&gt;0,"✓ Có","Chưa có trong DS xe"))</f>
        <v/>
      </c>
    </row>
    <row r="326" customFormat="false" ht="15" hidden="false" customHeight="false" outlineLevel="0" collapsed="false">
      <c r="A326" s="12" t="str">
        <f aca="false">IF(F326="","",COUNTA($F$8:F326))</f>
        <v/>
      </c>
      <c r="B326" s="4"/>
      <c r="C326" s="13"/>
      <c r="D326" s="14"/>
      <c r="E326" s="14"/>
      <c r="F326" s="15"/>
      <c r="G326" s="16"/>
      <c r="H326" s="16"/>
      <c r="I326" s="17" t="str">
        <f aca="false">IF(OR(G326="",H326=""),"",H326-G326)</f>
        <v/>
      </c>
      <c r="J326" s="4"/>
      <c r="K326" s="4"/>
      <c r="L326" s="18" t="str">
        <f aca="false">IF(F326="","",IF(COUNTIF('DS XE - TAI XE'!$B$6:$B$505,F326)&gt;0,"✓ Có","Chưa có trong DS xe"))</f>
        <v/>
      </c>
    </row>
    <row r="327" customFormat="false" ht="15" hidden="false" customHeight="false" outlineLevel="0" collapsed="false">
      <c r="A327" s="12" t="str">
        <f aca="false">IF(F327="","",COUNTA($F$8:F327))</f>
        <v/>
      </c>
      <c r="B327" s="4"/>
      <c r="C327" s="13"/>
      <c r="D327" s="14"/>
      <c r="E327" s="14"/>
      <c r="F327" s="15"/>
      <c r="G327" s="16"/>
      <c r="H327" s="16"/>
      <c r="I327" s="17" t="str">
        <f aca="false">IF(OR(G327="",H327=""),"",H327-G327)</f>
        <v/>
      </c>
      <c r="J327" s="4"/>
      <c r="K327" s="4"/>
      <c r="L327" s="18" t="str">
        <f aca="false">IF(F327="","",IF(COUNTIF('DS XE - TAI XE'!$B$6:$B$505,F327)&gt;0,"✓ Có","Chưa có trong DS xe"))</f>
        <v/>
      </c>
    </row>
    <row r="328" customFormat="false" ht="15" hidden="false" customHeight="false" outlineLevel="0" collapsed="false">
      <c r="A328" s="12" t="str">
        <f aca="false">IF(F328="","",COUNTA($F$8:F328))</f>
        <v/>
      </c>
      <c r="B328" s="4"/>
      <c r="C328" s="13"/>
      <c r="D328" s="14"/>
      <c r="E328" s="14"/>
      <c r="F328" s="15"/>
      <c r="G328" s="16"/>
      <c r="H328" s="16"/>
      <c r="I328" s="17" t="str">
        <f aca="false">IF(OR(G328="",H328=""),"",H328-G328)</f>
        <v/>
      </c>
      <c r="J328" s="4"/>
      <c r="K328" s="4"/>
      <c r="L328" s="18" t="str">
        <f aca="false">IF(F328="","",IF(COUNTIF('DS XE - TAI XE'!$B$6:$B$505,F328)&gt;0,"✓ Có","Chưa có trong DS xe"))</f>
        <v/>
      </c>
    </row>
    <row r="329" customFormat="false" ht="15" hidden="false" customHeight="false" outlineLevel="0" collapsed="false">
      <c r="A329" s="12" t="str">
        <f aca="false">IF(F329="","",COUNTA($F$8:F329))</f>
        <v/>
      </c>
      <c r="B329" s="4"/>
      <c r="C329" s="13"/>
      <c r="D329" s="14"/>
      <c r="E329" s="14"/>
      <c r="F329" s="15"/>
      <c r="G329" s="16"/>
      <c r="H329" s="16"/>
      <c r="I329" s="17" t="str">
        <f aca="false">IF(OR(G329="",H329=""),"",H329-G329)</f>
        <v/>
      </c>
      <c r="J329" s="4"/>
      <c r="K329" s="4"/>
      <c r="L329" s="18" t="str">
        <f aca="false">IF(F329="","",IF(COUNTIF('DS XE - TAI XE'!$B$6:$B$505,F329)&gt;0,"✓ Có","Chưa có trong DS xe"))</f>
        <v/>
      </c>
    </row>
    <row r="330" customFormat="false" ht="15" hidden="false" customHeight="false" outlineLevel="0" collapsed="false">
      <c r="A330" s="12" t="str">
        <f aca="false">IF(F330="","",COUNTA($F$8:F330))</f>
        <v/>
      </c>
      <c r="B330" s="4"/>
      <c r="C330" s="13"/>
      <c r="D330" s="14"/>
      <c r="E330" s="14"/>
      <c r="F330" s="15"/>
      <c r="G330" s="16"/>
      <c r="H330" s="16"/>
      <c r="I330" s="17" t="str">
        <f aca="false">IF(OR(G330="",H330=""),"",H330-G330)</f>
        <v/>
      </c>
      <c r="J330" s="4"/>
      <c r="K330" s="4"/>
      <c r="L330" s="18" t="str">
        <f aca="false">IF(F330="","",IF(COUNTIF('DS XE - TAI XE'!$B$6:$B$505,F330)&gt;0,"✓ Có","Chưa có trong DS xe"))</f>
        <v/>
      </c>
    </row>
    <row r="331" customFormat="false" ht="15" hidden="false" customHeight="false" outlineLevel="0" collapsed="false">
      <c r="A331" s="12" t="str">
        <f aca="false">IF(F331="","",COUNTA($F$8:F331))</f>
        <v/>
      </c>
      <c r="B331" s="4"/>
      <c r="C331" s="13"/>
      <c r="D331" s="14"/>
      <c r="E331" s="14"/>
      <c r="F331" s="15"/>
      <c r="G331" s="16"/>
      <c r="H331" s="16"/>
      <c r="I331" s="17" t="str">
        <f aca="false">IF(OR(G331="",H331=""),"",H331-G331)</f>
        <v/>
      </c>
      <c r="J331" s="4"/>
      <c r="K331" s="4"/>
      <c r="L331" s="18" t="str">
        <f aca="false">IF(F331="","",IF(COUNTIF('DS XE - TAI XE'!$B$6:$B$505,F331)&gt;0,"✓ Có","Chưa có trong DS xe"))</f>
        <v/>
      </c>
    </row>
    <row r="332" customFormat="false" ht="15" hidden="false" customHeight="false" outlineLevel="0" collapsed="false">
      <c r="A332" s="12" t="str">
        <f aca="false">IF(F332="","",COUNTA($F$8:F332))</f>
        <v/>
      </c>
      <c r="B332" s="4"/>
      <c r="C332" s="13"/>
      <c r="D332" s="14"/>
      <c r="E332" s="14"/>
      <c r="F332" s="15"/>
      <c r="G332" s="16"/>
      <c r="H332" s="16"/>
      <c r="I332" s="17" t="str">
        <f aca="false">IF(OR(G332="",H332=""),"",H332-G332)</f>
        <v/>
      </c>
      <c r="J332" s="4"/>
      <c r="K332" s="4"/>
      <c r="L332" s="18" t="str">
        <f aca="false">IF(F332="","",IF(COUNTIF('DS XE - TAI XE'!$B$6:$B$505,F332)&gt;0,"✓ Có","Chưa có trong DS xe"))</f>
        <v/>
      </c>
    </row>
    <row r="333" customFormat="false" ht="15" hidden="false" customHeight="false" outlineLevel="0" collapsed="false">
      <c r="A333" s="12" t="str">
        <f aca="false">IF(F333="","",COUNTA($F$8:F333))</f>
        <v/>
      </c>
      <c r="B333" s="4"/>
      <c r="C333" s="13"/>
      <c r="D333" s="14"/>
      <c r="E333" s="14"/>
      <c r="F333" s="15"/>
      <c r="G333" s="16"/>
      <c r="H333" s="16"/>
      <c r="I333" s="17" t="str">
        <f aca="false">IF(OR(G333="",H333=""),"",H333-G333)</f>
        <v/>
      </c>
      <c r="J333" s="4"/>
      <c r="K333" s="4"/>
      <c r="L333" s="18" t="str">
        <f aca="false">IF(F333="","",IF(COUNTIF('DS XE - TAI XE'!$B$6:$B$505,F333)&gt;0,"✓ Có","Chưa có trong DS xe"))</f>
        <v/>
      </c>
    </row>
    <row r="334" customFormat="false" ht="15" hidden="false" customHeight="false" outlineLevel="0" collapsed="false">
      <c r="A334" s="12" t="str">
        <f aca="false">IF(F334="","",COUNTA($F$8:F334))</f>
        <v/>
      </c>
      <c r="B334" s="4"/>
      <c r="C334" s="13"/>
      <c r="D334" s="14"/>
      <c r="E334" s="14"/>
      <c r="F334" s="15"/>
      <c r="G334" s="16"/>
      <c r="H334" s="16"/>
      <c r="I334" s="17" t="str">
        <f aca="false">IF(OR(G334="",H334=""),"",H334-G334)</f>
        <v/>
      </c>
      <c r="J334" s="4"/>
      <c r="K334" s="4"/>
      <c r="L334" s="18" t="str">
        <f aca="false">IF(F334="","",IF(COUNTIF('DS XE - TAI XE'!$B$6:$B$505,F334)&gt;0,"✓ Có","Chưa có trong DS xe"))</f>
        <v/>
      </c>
    </row>
    <row r="335" customFormat="false" ht="15" hidden="false" customHeight="false" outlineLevel="0" collapsed="false">
      <c r="A335" s="12" t="str">
        <f aca="false">IF(F335="","",COUNTA($F$8:F335))</f>
        <v/>
      </c>
      <c r="B335" s="4"/>
      <c r="C335" s="13"/>
      <c r="D335" s="14"/>
      <c r="E335" s="14"/>
      <c r="F335" s="15"/>
      <c r="G335" s="16"/>
      <c r="H335" s="16"/>
      <c r="I335" s="17" t="str">
        <f aca="false">IF(OR(G335="",H335=""),"",H335-G335)</f>
        <v/>
      </c>
      <c r="J335" s="4"/>
      <c r="K335" s="4"/>
      <c r="L335" s="18" t="str">
        <f aca="false">IF(F335="","",IF(COUNTIF('DS XE - TAI XE'!$B$6:$B$505,F335)&gt;0,"✓ Có","Chưa có trong DS xe"))</f>
        <v/>
      </c>
    </row>
    <row r="336" customFormat="false" ht="15" hidden="false" customHeight="false" outlineLevel="0" collapsed="false">
      <c r="A336" s="12" t="str">
        <f aca="false">IF(F336="","",COUNTA($F$8:F336))</f>
        <v/>
      </c>
      <c r="B336" s="4"/>
      <c r="C336" s="13"/>
      <c r="D336" s="14"/>
      <c r="E336" s="14"/>
      <c r="F336" s="15"/>
      <c r="G336" s="16"/>
      <c r="H336" s="16"/>
      <c r="I336" s="17" t="str">
        <f aca="false">IF(OR(G336="",H336=""),"",H336-G336)</f>
        <v/>
      </c>
      <c r="J336" s="4"/>
      <c r="K336" s="4"/>
      <c r="L336" s="18" t="str">
        <f aca="false">IF(F336="","",IF(COUNTIF('DS XE - TAI XE'!$B$6:$B$505,F336)&gt;0,"✓ Có","Chưa có trong DS xe"))</f>
        <v/>
      </c>
    </row>
    <row r="337" customFormat="false" ht="15" hidden="false" customHeight="false" outlineLevel="0" collapsed="false">
      <c r="A337" s="12" t="str">
        <f aca="false">IF(F337="","",COUNTA($F$8:F337))</f>
        <v/>
      </c>
      <c r="B337" s="4"/>
      <c r="C337" s="13"/>
      <c r="D337" s="14"/>
      <c r="E337" s="14"/>
      <c r="F337" s="15"/>
      <c r="G337" s="16"/>
      <c r="H337" s="16"/>
      <c r="I337" s="17" t="str">
        <f aca="false">IF(OR(G337="",H337=""),"",H337-G337)</f>
        <v/>
      </c>
      <c r="J337" s="4"/>
      <c r="K337" s="4"/>
      <c r="L337" s="18" t="str">
        <f aca="false">IF(F337="","",IF(COUNTIF('DS XE - TAI XE'!$B$6:$B$505,F337)&gt;0,"✓ Có","Chưa có trong DS xe"))</f>
        <v/>
      </c>
    </row>
    <row r="338" customFormat="false" ht="15" hidden="false" customHeight="false" outlineLevel="0" collapsed="false">
      <c r="A338" s="12" t="str">
        <f aca="false">IF(F338="","",COUNTA($F$8:F338))</f>
        <v/>
      </c>
      <c r="B338" s="4"/>
      <c r="C338" s="13"/>
      <c r="D338" s="14"/>
      <c r="E338" s="14"/>
      <c r="F338" s="15"/>
      <c r="G338" s="16"/>
      <c r="H338" s="16"/>
      <c r="I338" s="17" t="str">
        <f aca="false">IF(OR(G338="",H338=""),"",H338-G338)</f>
        <v/>
      </c>
      <c r="J338" s="4"/>
      <c r="K338" s="4"/>
      <c r="L338" s="18" t="str">
        <f aca="false">IF(F338="","",IF(COUNTIF('DS XE - TAI XE'!$B$6:$B$505,F338)&gt;0,"✓ Có","Chưa có trong DS xe"))</f>
        <v/>
      </c>
    </row>
    <row r="339" customFormat="false" ht="15" hidden="false" customHeight="false" outlineLevel="0" collapsed="false">
      <c r="A339" s="12" t="str">
        <f aca="false">IF(F339="","",COUNTA($F$8:F339))</f>
        <v/>
      </c>
      <c r="B339" s="4"/>
      <c r="C339" s="13"/>
      <c r="D339" s="14"/>
      <c r="E339" s="14"/>
      <c r="F339" s="15"/>
      <c r="G339" s="16"/>
      <c r="H339" s="16"/>
      <c r="I339" s="17" t="str">
        <f aca="false">IF(OR(G339="",H339=""),"",H339-G339)</f>
        <v/>
      </c>
      <c r="J339" s="4"/>
      <c r="K339" s="4"/>
      <c r="L339" s="18" t="str">
        <f aca="false">IF(F339="","",IF(COUNTIF('DS XE - TAI XE'!$B$6:$B$505,F339)&gt;0,"✓ Có","Chưa có trong DS xe"))</f>
        <v/>
      </c>
    </row>
    <row r="340" customFormat="false" ht="15" hidden="false" customHeight="false" outlineLevel="0" collapsed="false">
      <c r="A340" s="12" t="str">
        <f aca="false">IF(F340="","",COUNTA($F$8:F340))</f>
        <v/>
      </c>
      <c r="B340" s="4"/>
      <c r="C340" s="13"/>
      <c r="D340" s="14"/>
      <c r="E340" s="14"/>
      <c r="F340" s="15"/>
      <c r="G340" s="16"/>
      <c r="H340" s="16"/>
      <c r="I340" s="17" t="str">
        <f aca="false">IF(OR(G340="",H340=""),"",H340-G340)</f>
        <v/>
      </c>
      <c r="J340" s="4"/>
      <c r="K340" s="4"/>
      <c r="L340" s="18" t="str">
        <f aca="false">IF(F340="","",IF(COUNTIF('DS XE - TAI XE'!$B$6:$B$505,F340)&gt;0,"✓ Có","Chưa có trong DS xe"))</f>
        <v/>
      </c>
    </row>
    <row r="341" customFormat="false" ht="15" hidden="false" customHeight="false" outlineLevel="0" collapsed="false">
      <c r="A341" s="12" t="str">
        <f aca="false">IF(F341="","",COUNTA($F$8:F341))</f>
        <v/>
      </c>
      <c r="B341" s="4"/>
      <c r="C341" s="13"/>
      <c r="D341" s="14"/>
      <c r="E341" s="14"/>
      <c r="F341" s="15"/>
      <c r="G341" s="16"/>
      <c r="H341" s="16"/>
      <c r="I341" s="17" t="str">
        <f aca="false">IF(OR(G341="",H341=""),"",H341-G341)</f>
        <v/>
      </c>
      <c r="J341" s="4"/>
      <c r="K341" s="4"/>
      <c r="L341" s="18" t="str">
        <f aca="false">IF(F341="","",IF(COUNTIF('DS XE - TAI XE'!$B$6:$B$505,F341)&gt;0,"✓ Có","Chưa có trong DS xe"))</f>
        <v/>
      </c>
    </row>
    <row r="342" customFormat="false" ht="15" hidden="false" customHeight="false" outlineLevel="0" collapsed="false">
      <c r="A342" s="12" t="str">
        <f aca="false">IF(F342="","",COUNTA($F$8:F342))</f>
        <v/>
      </c>
      <c r="B342" s="4"/>
      <c r="C342" s="13"/>
      <c r="D342" s="14"/>
      <c r="E342" s="14"/>
      <c r="F342" s="15"/>
      <c r="G342" s="16"/>
      <c r="H342" s="16"/>
      <c r="I342" s="17" t="str">
        <f aca="false">IF(OR(G342="",H342=""),"",H342-G342)</f>
        <v/>
      </c>
      <c r="J342" s="4"/>
      <c r="K342" s="4"/>
      <c r="L342" s="18" t="str">
        <f aca="false">IF(F342="","",IF(COUNTIF('DS XE - TAI XE'!$B$6:$B$505,F342)&gt;0,"✓ Có","Chưa có trong DS xe"))</f>
        <v/>
      </c>
    </row>
    <row r="343" customFormat="false" ht="15" hidden="false" customHeight="false" outlineLevel="0" collapsed="false">
      <c r="A343" s="12" t="str">
        <f aca="false">IF(F343="","",COUNTA($F$8:F343))</f>
        <v/>
      </c>
      <c r="B343" s="4"/>
      <c r="C343" s="13"/>
      <c r="D343" s="14"/>
      <c r="E343" s="14"/>
      <c r="F343" s="15"/>
      <c r="G343" s="16"/>
      <c r="H343" s="16"/>
      <c r="I343" s="17" t="str">
        <f aca="false">IF(OR(G343="",H343=""),"",H343-G343)</f>
        <v/>
      </c>
      <c r="J343" s="4"/>
      <c r="K343" s="4"/>
      <c r="L343" s="18" t="str">
        <f aca="false">IF(F343="","",IF(COUNTIF('DS XE - TAI XE'!$B$6:$B$505,F343)&gt;0,"✓ Có","Chưa có trong DS xe"))</f>
        <v/>
      </c>
    </row>
    <row r="344" customFormat="false" ht="15" hidden="false" customHeight="false" outlineLevel="0" collapsed="false">
      <c r="A344" s="12" t="str">
        <f aca="false">IF(F344="","",COUNTA($F$8:F344))</f>
        <v/>
      </c>
      <c r="B344" s="4"/>
      <c r="C344" s="13"/>
      <c r="D344" s="14"/>
      <c r="E344" s="14"/>
      <c r="F344" s="15"/>
      <c r="G344" s="16"/>
      <c r="H344" s="16"/>
      <c r="I344" s="17" t="str">
        <f aca="false">IF(OR(G344="",H344=""),"",H344-G344)</f>
        <v/>
      </c>
      <c r="J344" s="4"/>
      <c r="K344" s="4"/>
      <c r="L344" s="18" t="str">
        <f aca="false">IF(F344="","",IF(COUNTIF('DS XE - TAI XE'!$B$6:$B$505,F344)&gt;0,"✓ Có","Chưa có trong DS xe"))</f>
        <v/>
      </c>
    </row>
    <row r="345" customFormat="false" ht="15" hidden="false" customHeight="false" outlineLevel="0" collapsed="false">
      <c r="A345" s="12" t="str">
        <f aca="false">IF(F345="","",COUNTA($F$8:F345))</f>
        <v/>
      </c>
      <c r="B345" s="4"/>
      <c r="C345" s="13"/>
      <c r="D345" s="14"/>
      <c r="E345" s="14"/>
      <c r="F345" s="15"/>
      <c r="G345" s="16"/>
      <c r="H345" s="16"/>
      <c r="I345" s="17" t="str">
        <f aca="false">IF(OR(G345="",H345=""),"",H345-G345)</f>
        <v/>
      </c>
      <c r="J345" s="4"/>
      <c r="K345" s="4"/>
      <c r="L345" s="18" t="str">
        <f aca="false">IF(F345="","",IF(COUNTIF('DS XE - TAI XE'!$B$6:$B$505,F345)&gt;0,"✓ Có","Chưa có trong DS xe"))</f>
        <v/>
      </c>
    </row>
    <row r="346" customFormat="false" ht="15" hidden="false" customHeight="false" outlineLevel="0" collapsed="false">
      <c r="A346" s="12" t="str">
        <f aca="false">IF(F346="","",COUNTA($F$8:F346))</f>
        <v/>
      </c>
      <c r="B346" s="4"/>
      <c r="C346" s="13"/>
      <c r="D346" s="14"/>
      <c r="E346" s="14"/>
      <c r="F346" s="15"/>
      <c r="G346" s="16"/>
      <c r="H346" s="16"/>
      <c r="I346" s="17" t="str">
        <f aca="false">IF(OR(G346="",H346=""),"",H346-G346)</f>
        <v/>
      </c>
      <c r="J346" s="4"/>
      <c r="K346" s="4"/>
      <c r="L346" s="18" t="str">
        <f aca="false">IF(F346="","",IF(COUNTIF('DS XE - TAI XE'!$B$6:$B$505,F346)&gt;0,"✓ Có","Chưa có trong DS xe"))</f>
        <v/>
      </c>
    </row>
    <row r="347" customFormat="false" ht="15" hidden="false" customHeight="false" outlineLevel="0" collapsed="false">
      <c r="A347" s="12" t="str">
        <f aca="false">IF(F347="","",COUNTA($F$8:F347))</f>
        <v/>
      </c>
      <c r="B347" s="4"/>
      <c r="C347" s="13"/>
      <c r="D347" s="14"/>
      <c r="E347" s="14"/>
      <c r="F347" s="15"/>
      <c r="G347" s="16"/>
      <c r="H347" s="16"/>
      <c r="I347" s="17" t="str">
        <f aca="false">IF(OR(G347="",H347=""),"",H347-G347)</f>
        <v/>
      </c>
      <c r="J347" s="4"/>
      <c r="K347" s="4"/>
      <c r="L347" s="18" t="str">
        <f aca="false">IF(F347="","",IF(COUNTIF('DS XE - TAI XE'!$B$6:$B$505,F347)&gt;0,"✓ Có","Chưa có trong DS xe"))</f>
        <v/>
      </c>
    </row>
    <row r="348" customFormat="false" ht="15" hidden="false" customHeight="false" outlineLevel="0" collapsed="false">
      <c r="A348" s="12" t="str">
        <f aca="false">IF(F348="","",COUNTA($F$8:F348))</f>
        <v/>
      </c>
      <c r="B348" s="4"/>
      <c r="C348" s="13"/>
      <c r="D348" s="14"/>
      <c r="E348" s="14"/>
      <c r="F348" s="15"/>
      <c r="G348" s="16"/>
      <c r="H348" s="16"/>
      <c r="I348" s="17" t="str">
        <f aca="false">IF(OR(G348="",H348=""),"",H348-G348)</f>
        <v/>
      </c>
      <c r="J348" s="4"/>
      <c r="K348" s="4"/>
      <c r="L348" s="18" t="str">
        <f aca="false">IF(F348="","",IF(COUNTIF('DS XE - TAI XE'!$B$6:$B$505,F348)&gt;0,"✓ Có","Chưa có trong DS xe"))</f>
        <v/>
      </c>
    </row>
    <row r="349" customFormat="false" ht="15" hidden="false" customHeight="false" outlineLevel="0" collapsed="false">
      <c r="A349" s="12" t="str">
        <f aca="false">IF(F349="","",COUNTA($F$8:F349))</f>
        <v/>
      </c>
      <c r="B349" s="4"/>
      <c r="C349" s="13"/>
      <c r="D349" s="14"/>
      <c r="E349" s="14"/>
      <c r="F349" s="15"/>
      <c r="G349" s="16"/>
      <c r="H349" s="16"/>
      <c r="I349" s="17" t="str">
        <f aca="false">IF(OR(G349="",H349=""),"",H349-G349)</f>
        <v/>
      </c>
      <c r="J349" s="4"/>
      <c r="K349" s="4"/>
      <c r="L349" s="18" t="str">
        <f aca="false">IF(F349="","",IF(COUNTIF('DS XE - TAI XE'!$B$6:$B$505,F349)&gt;0,"✓ Có","Chưa có trong DS xe"))</f>
        <v/>
      </c>
    </row>
    <row r="350" customFormat="false" ht="15" hidden="false" customHeight="false" outlineLevel="0" collapsed="false">
      <c r="A350" s="12" t="str">
        <f aca="false">IF(F350="","",COUNTA($F$8:F350))</f>
        <v/>
      </c>
      <c r="B350" s="4"/>
      <c r="C350" s="13"/>
      <c r="D350" s="14"/>
      <c r="E350" s="14"/>
      <c r="F350" s="15"/>
      <c r="G350" s="16"/>
      <c r="H350" s="16"/>
      <c r="I350" s="17" t="str">
        <f aca="false">IF(OR(G350="",H350=""),"",H350-G350)</f>
        <v/>
      </c>
      <c r="J350" s="4"/>
      <c r="K350" s="4"/>
      <c r="L350" s="18" t="str">
        <f aca="false">IF(F350="","",IF(COUNTIF('DS XE - TAI XE'!$B$6:$B$505,F350)&gt;0,"✓ Có","Chưa có trong DS xe"))</f>
        <v/>
      </c>
    </row>
    <row r="351" customFormat="false" ht="15" hidden="false" customHeight="false" outlineLevel="0" collapsed="false">
      <c r="A351" s="12" t="str">
        <f aca="false">IF(F351="","",COUNTA($F$8:F351))</f>
        <v/>
      </c>
      <c r="B351" s="4"/>
      <c r="C351" s="13"/>
      <c r="D351" s="14"/>
      <c r="E351" s="14"/>
      <c r="F351" s="15"/>
      <c r="G351" s="16"/>
      <c r="H351" s="16"/>
      <c r="I351" s="17" t="str">
        <f aca="false">IF(OR(G351="",H351=""),"",H351-G351)</f>
        <v/>
      </c>
      <c r="J351" s="4"/>
      <c r="K351" s="4"/>
      <c r="L351" s="18" t="str">
        <f aca="false">IF(F351="","",IF(COUNTIF('DS XE - TAI XE'!$B$6:$B$505,F351)&gt;0,"✓ Có","Chưa có trong DS xe"))</f>
        <v/>
      </c>
    </row>
    <row r="352" customFormat="false" ht="15" hidden="false" customHeight="false" outlineLevel="0" collapsed="false">
      <c r="A352" s="12" t="str">
        <f aca="false">IF(F352="","",COUNTA($F$8:F352))</f>
        <v/>
      </c>
      <c r="B352" s="4"/>
      <c r="C352" s="13"/>
      <c r="D352" s="14"/>
      <c r="E352" s="14"/>
      <c r="F352" s="15"/>
      <c r="G352" s="16"/>
      <c r="H352" s="16"/>
      <c r="I352" s="17" t="str">
        <f aca="false">IF(OR(G352="",H352=""),"",H352-G352)</f>
        <v/>
      </c>
      <c r="J352" s="4"/>
      <c r="K352" s="4"/>
      <c r="L352" s="18" t="str">
        <f aca="false">IF(F352="","",IF(COUNTIF('DS XE - TAI XE'!$B$6:$B$505,F352)&gt;0,"✓ Có","Chưa có trong DS xe"))</f>
        <v/>
      </c>
    </row>
    <row r="353" customFormat="false" ht="15" hidden="false" customHeight="false" outlineLevel="0" collapsed="false">
      <c r="A353" s="12" t="str">
        <f aca="false">IF(F353="","",COUNTA($F$8:F353))</f>
        <v/>
      </c>
      <c r="B353" s="4"/>
      <c r="C353" s="13"/>
      <c r="D353" s="14"/>
      <c r="E353" s="14"/>
      <c r="F353" s="15"/>
      <c r="G353" s="16"/>
      <c r="H353" s="16"/>
      <c r="I353" s="17" t="str">
        <f aca="false">IF(OR(G353="",H353=""),"",H353-G353)</f>
        <v/>
      </c>
      <c r="J353" s="4"/>
      <c r="K353" s="4"/>
      <c r="L353" s="18" t="str">
        <f aca="false">IF(F353="","",IF(COUNTIF('DS XE - TAI XE'!$B$6:$B$505,F353)&gt;0,"✓ Có","Chưa có trong DS xe"))</f>
        <v/>
      </c>
    </row>
    <row r="354" customFormat="false" ht="15" hidden="false" customHeight="false" outlineLevel="0" collapsed="false">
      <c r="A354" s="12" t="str">
        <f aca="false">IF(F354="","",COUNTA($F$8:F354))</f>
        <v/>
      </c>
      <c r="B354" s="4"/>
      <c r="C354" s="13"/>
      <c r="D354" s="14"/>
      <c r="E354" s="14"/>
      <c r="F354" s="15"/>
      <c r="G354" s="16"/>
      <c r="H354" s="16"/>
      <c r="I354" s="17" t="str">
        <f aca="false">IF(OR(G354="",H354=""),"",H354-G354)</f>
        <v/>
      </c>
      <c r="J354" s="4"/>
      <c r="K354" s="4"/>
      <c r="L354" s="18" t="str">
        <f aca="false">IF(F354="","",IF(COUNTIF('DS XE - TAI XE'!$B$6:$B$505,F354)&gt;0,"✓ Có","Chưa có trong DS xe"))</f>
        <v/>
      </c>
    </row>
    <row r="355" customFormat="false" ht="15" hidden="false" customHeight="false" outlineLevel="0" collapsed="false">
      <c r="A355" s="12" t="str">
        <f aca="false">IF(F355="","",COUNTA($F$8:F355))</f>
        <v/>
      </c>
      <c r="B355" s="4"/>
      <c r="C355" s="13"/>
      <c r="D355" s="14"/>
      <c r="E355" s="14"/>
      <c r="F355" s="15"/>
      <c r="G355" s="16"/>
      <c r="H355" s="16"/>
      <c r="I355" s="17" t="str">
        <f aca="false">IF(OR(G355="",H355=""),"",H355-G355)</f>
        <v/>
      </c>
      <c r="J355" s="4"/>
      <c r="K355" s="4"/>
      <c r="L355" s="18" t="str">
        <f aca="false">IF(F355="","",IF(COUNTIF('DS XE - TAI XE'!$B$6:$B$505,F355)&gt;0,"✓ Có","Chưa có trong DS xe"))</f>
        <v/>
      </c>
    </row>
    <row r="356" customFormat="false" ht="15" hidden="false" customHeight="false" outlineLevel="0" collapsed="false">
      <c r="A356" s="12" t="str">
        <f aca="false">IF(F356="","",COUNTA($F$8:F356))</f>
        <v/>
      </c>
      <c r="B356" s="4"/>
      <c r="C356" s="13"/>
      <c r="D356" s="14"/>
      <c r="E356" s="14"/>
      <c r="F356" s="15"/>
      <c r="G356" s="16"/>
      <c r="H356" s="16"/>
      <c r="I356" s="17" t="str">
        <f aca="false">IF(OR(G356="",H356=""),"",H356-G356)</f>
        <v/>
      </c>
      <c r="J356" s="4"/>
      <c r="K356" s="4"/>
      <c r="L356" s="18" t="str">
        <f aca="false">IF(F356="","",IF(COUNTIF('DS XE - TAI XE'!$B$6:$B$505,F356)&gt;0,"✓ Có","Chưa có trong DS xe"))</f>
        <v/>
      </c>
    </row>
    <row r="357" customFormat="false" ht="15" hidden="false" customHeight="false" outlineLevel="0" collapsed="false">
      <c r="A357" s="12" t="str">
        <f aca="false">IF(F357="","",COUNTA($F$8:F357))</f>
        <v/>
      </c>
      <c r="B357" s="4"/>
      <c r="C357" s="13"/>
      <c r="D357" s="14"/>
      <c r="E357" s="14"/>
      <c r="F357" s="15"/>
      <c r="G357" s="16"/>
      <c r="H357" s="16"/>
      <c r="I357" s="17" t="str">
        <f aca="false">IF(OR(G357="",H357=""),"",H357-G357)</f>
        <v/>
      </c>
      <c r="J357" s="4"/>
      <c r="K357" s="4"/>
      <c r="L357" s="18" t="str">
        <f aca="false">IF(F357="","",IF(COUNTIF('DS XE - TAI XE'!$B$6:$B$505,F357)&gt;0,"✓ Có","Chưa có trong DS xe"))</f>
        <v/>
      </c>
    </row>
    <row r="358" customFormat="false" ht="15" hidden="false" customHeight="false" outlineLevel="0" collapsed="false">
      <c r="A358" s="12" t="str">
        <f aca="false">IF(F358="","",COUNTA($F$8:F358))</f>
        <v/>
      </c>
      <c r="B358" s="4"/>
      <c r="C358" s="13"/>
      <c r="D358" s="14"/>
      <c r="E358" s="14"/>
      <c r="F358" s="15"/>
      <c r="G358" s="16"/>
      <c r="H358" s="16"/>
      <c r="I358" s="17" t="str">
        <f aca="false">IF(OR(G358="",H358=""),"",H358-G358)</f>
        <v/>
      </c>
      <c r="J358" s="4"/>
      <c r="K358" s="4"/>
      <c r="L358" s="18" t="str">
        <f aca="false">IF(F358="","",IF(COUNTIF('DS XE - TAI XE'!$B$6:$B$505,F358)&gt;0,"✓ Có","Chưa có trong DS xe"))</f>
        <v/>
      </c>
    </row>
    <row r="359" customFormat="false" ht="15" hidden="false" customHeight="false" outlineLevel="0" collapsed="false">
      <c r="A359" s="12" t="str">
        <f aca="false">IF(F359="","",COUNTA($F$8:F359))</f>
        <v/>
      </c>
      <c r="B359" s="4"/>
      <c r="C359" s="13"/>
      <c r="D359" s="14"/>
      <c r="E359" s="14"/>
      <c r="F359" s="15"/>
      <c r="G359" s="16"/>
      <c r="H359" s="16"/>
      <c r="I359" s="17" t="str">
        <f aca="false">IF(OR(G359="",H359=""),"",H359-G359)</f>
        <v/>
      </c>
      <c r="J359" s="4"/>
      <c r="K359" s="4"/>
      <c r="L359" s="18" t="str">
        <f aca="false">IF(F359="","",IF(COUNTIF('DS XE - TAI XE'!$B$6:$B$505,F359)&gt;0,"✓ Có","Chưa có trong DS xe"))</f>
        <v/>
      </c>
    </row>
    <row r="360" customFormat="false" ht="15" hidden="false" customHeight="false" outlineLevel="0" collapsed="false">
      <c r="A360" s="12" t="str">
        <f aca="false">IF(F360="","",COUNTA($F$8:F360))</f>
        <v/>
      </c>
      <c r="B360" s="4"/>
      <c r="C360" s="13"/>
      <c r="D360" s="14"/>
      <c r="E360" s="14"/>
      <c r="F360" s="15"/>
      <c r="G360" s="16"/>
      <c r="H360" s="16"/>
      <c r="I360" s="17" t="str">
        <f aca="false">IF(OR(G360="",H360=""),"",H360-G360)</f>
        <v/>
      </c>
      <c r="J360" s="4"/>
      <c r="K360" s="4"/>
      <c r="L360" s="18" t="str">
        <f aca="false">IF(F360="","",IF(COUNTIF('DS XE - TAI XE'!$B$6:$B$505,F360)&gt;0,"✓ Có","Chưa có trong DS xe"))</f>
        <v/>
      </c>
    </row>
    <row r="361" customFormat="false" ht="15" hidden="false" customHeight="false" outlineLevel="0" collapsed="false">
      <c r="A361" s="12" t="str">
        <f aca="false">IF(F361="","",COUNTA($F$8:F361))</f>
        <v/>
      </c>
      <c r="B361" s="4"/>
      <c r="C361" s="13"/>
      <c r="D361" s="14"/>
      <c r="E361" s="14"/>
      <c r="F361" s="15"/>
      <c r="G361" s="16"/>
      <c r="H361" s="16"/>
      <c r="I361" s="17" t="str">
        <f aca="false">IF(OR(G361="",H361=""),"",H361-G361)</f>
        <v/>
      </c>
      <c r="J361" s="4"/>
      <c r="K361" s="4"/>
      <c r="L361" s="18" t="str">
        <f aca="false">IF(F361="","",IF(COUNTIF('DS XE - TAI XE'!$B$6:$B$505,F361)&gt;0,"✓ Có","Chưa có trong DS xe"))</f>
        <v/>
      </c>
    </row>
    <row r="362" customFormat="false" ht="15" hidden="false" customHeight="false" outlineLevel="0" collapsed="false">
      <c r="A362" s="12" t="str">
        <f aca="false">IF(F362="","",COUNTA($F$8:F362))</f>
        <v/>
      </c>
      <c r="B362" s="4"/>
      <c r="C362" s="13"/>
      <c r="D362" s="14"/>
      <c r="E362" s="14"/>
      <c r="F362" s="15"/>
      <c r="G362" s="16"/>
      <c r="H362" s="16"/>
      <c r="I362" s="17" t="str">
        <f aca="false">IF(OR(G362="",H362=""),"",H362-G362)</f>
        <v/>
      </c>
      <c r="J362" s="4"/>
      <c r="K362" s="4"/>
      <c r="L362" s="18" t="str">
        <f aca="false">IF(F362="","",IF(COUNTIF('DS XE - TAI XE'!$B$6:$B$505,F362)&gt;0,"✓ Có","Chưa có trong DS xe"))</f>
        <v/>
      </c>
    </row>
    <row r="363" customFormat="false" ht="15" hidden="false" customHeight="false" outlineLevel="0" collapsed="false">
      <c r="A363" s="12" t="str">
        <f aca="false">IF(F363="","",COUNTA($F$8:F363))</f>
        <v/>
      </c>
      <c r="B363" s="4"/>
      <c r="C363" s="13"/>
      <c r="D363" s="14"/>
      <c r="E363" s="14"/>
      <c r="F363" s="15"/>
      <c r="G363" s="16"/>
      <c r="H363" s="16"/>
      <c r="I363" s="17" t="str">
        <f aca="false">IF(OR(G363="",H363=""),"",H363-G363)</f>
        <v/>
      </c>
      <c r="J363" s="4"/>
      <c r="K363" s="4"/>
      <c r="L363" s="18" t="str">
        <f aca="false">IF(F363="","",IF(COUNTIF('DS XE - TAI XE'!$B$6:$B$505,F363)&gt;0,"✓ Có","Chưa có trong DS xe"))</f>
        <v/>
      </c>
    </row>
    <row r="364" customFormat="false" ht="15" hidden="false" customHeight="false" outlineLevel="0" collapsed="false">
      <c r="A364" s="12" t="str">
        <f aca="false">IF(F364="","",COUNTA($F$8:F364))</f>
        <v/>
      </c>
      <c r="B364" s="4"/>
      <c r="C364" s="13"/>
      <c r="D364" s="14"/>
      <c r="E364" s="14"/>
      <c r="F364" s="15"/>
      <c r="G364" s="16"/>
      <c r="H364" s="16"/>
      <c r="I364" s="17" t="str">
        <f aca="false">IF(OR(G364="",H364=""),"",H364-G364)</f>
        <v/>
      </c>
      <c r="J364" s="4"/>
      <c r="K364" s="4"/>
      <c r="L364" s="18" t="str">
        <f aca="false">IF(F364="","",IF(COUNTIF('DS XE - TAI XE'!$B$6:$B$505,F364)&gt;0,"✓ Có","Chưa có trong DS xe"))</f>
        <v/>
      </c>
    </row>
    <row r="365" customFormat="false" ht="15" hidden="false" customHeight="false" outlineLevel="0" collapsed="false">
      <c r="A365" s="12" t="str">
        <f aca="false">IF(F365="","",COUNTA($F$8:F365))</f>
        <v/>
      </c>
      <c r="B365" s="4"/>
      <c r="C365" s="13"/>
      <c r="D365" s="14"/>
      <c r="E365" s="14"/>
      <c r="F365" s="15"/>
      <c r="G365" s="16"/>
      <c r="H365" s="16"/>
      <c r="I365" s="17" t="str">
        <f aca="false">IF(OR(G365="",H365=""),"",H365-G365)</f>
        <v/>
      </c>
      <c r="J365" s="4"/>
      <c r="K365" s="4"/>
      <c r="L365" s="18" t="str">
        <f aca="false">IF(F365="","",IF(COUNTIF('DS XE - TAI XE'!$B$6:$B$505,F365)&gt;0,"✓ Có","Chưa có trong DS xe"))</f>
        <v/>
      </c>
    </row>
    <row r="366" customFormat="false" ht="15" hidden="false" customHeight="false" outlineLevel="0" collapsed="false">
      <c r="A366" s="12" t="str">
        <f aca="false">IF(F366="","",COUNTA($F$8:F366))</f>
        <v/>
      </c>
      <c r="B366" s="4"/>
      <c r="C366" s="13"/>
      <c r="D366" s="14"/>
      <c r="E366" s="14"/>
      <c r="F366" s="15"/>
      <c r="G366" s="16"/>
      <c r="H366" s="16"/>
      <c r="I366" s="17" t="str">
        <f aca="false">IF(OR(G366="",H366=""),"",H366-G366)</f>
        <v/>
      </c>
      <c r="J366" s="4"/>
      <c r="K366" s="4"/>
      <c r="L366" s="18" t="str">
        <f aca="false">IF(F366="","",IF(COUNTIF('DS XE - TAI XE'!$B$6:$B$505,F366)&gt;0,"✓ Có","Chưa có trong DS xe"))</f>
        <v/>
      </c>
    </row>
    <row r="367" customFormat="false" ht="15" hidden="false" customHeight="false" outlineLevel="0" collapsed="false">
      <c r="A367" s="12" t="str">
        <f aca="false">IF(F367="","",COUNTA($F$8:F367))</f>
        <v/>
      </c>
      <c r="B367" s="4"/>
      <c r="C367" s="13"/>
      <c r="D367" s="14"/>
      <c r="E367" s="14"/>
      <c r="F367" s="15"/>
      <c r="G367" s="16"/>
      <c r="H367" s="16"/>
      <c r="I367" s="17" t="str">
        <f aca="false">IF(OR(G367="",H367=""),"",H367-G367)</f>
        <v/>
      </c>
      <c r="J367" s="4"/>
      <c r="K367" s="4"/>
      <c r="L367" s="18" t="str">
        <f aca="false">IF(F367="","",IF(COUNTIF('DS XE - TAI XE'!$B$6:$B$505,F367)&gt;0,"✓ Có","Chưa có trong DS xe"))</f>
        <v/>
      </c>
    </row>
    <row r="368" customFormat="false" ht="15" hidden="false" customHeight="false" outlineLevel="0" collapsed="false">
      <c r="A368" s="12" t="str">
        <f aca="false">IF(F368="","",COUNTA($F$8:F368))</f>
        <v/>
      </c>
      <c r="B368" s="4"/>
      <c r="C368" s="13"/>
      <c r="D368" s="14"/>
      <c r="E368" s="14"/>
      <c r="F368" s="15"/>
      <c r="G368" s="16"/>
      <c r="H368" s="16"/>
      <c r="I368" s="17" t="str">
        <f aca="false">IF(OR(G368="",H368=""),"",H368-G368)</f>
        <v/>
      </c>
      <c r="J368" s="4"/>
      <c r="K368" s="4"/>
      <c r="L368" s="18" t="str">
        <f aca="false">IF(F368="","",IF(COUNTIF('DS XE - TAI XE'!$B$6:$B$505,F368)&gt;0,"✓ Có","Chưa có trong DS xe"))</f>
        <v/>
      </c>
    </row>
    <row r="369" customFormat="false" ht="15" hidden="false" customHeight="false" outlineLevel="0" collapsed="false">
      <c r="A369" s="12" t="str">
        <f aca="false">IF(F369="","",COUNTA($F$8:F369))</f>
        <v/>
      </c>
      <c r="B369" s="4"/>
      <c r="C369" s="13"/>
      <c r="D369" s="14"/>
      <c r="E369" s="14"/>
      <c r="F369" s="15"/>
      <c r="G369" s="16"/>
      <c r="H369" s="16"/>
      <c r="I369" s="17" t="str">
        <f aca="false">IF(OR(G369="",H369=""),"",H369-G369)</f>
        <v/>
      </c>
      <c r="J369" s="4"/>
      <c r="K369" s="4"/>
      <c r="L369" s="18" t="str">
        <f aca="false">IF(F369="","",IF(COUNTIF('DS XE - TAI XE'!$B$6:$B$505,F369)&gt;0,"✓ Có","Chưa có trong DS xe"))</f>
        <v/>
      </c>
    </row>
    <row r="370" customFormat="false" ht="15" hidden="false" customHeight="false" outlineLevel="0" collapsed="false">
      <c r="A370" s="12" t="str">
        <f aca="false">IF(F370="","",COUNTA($F$8:F370))</f>
        <v/>
      </c>
      <c r="B370" s="4"/>
      <c r="C370" s="13"/>
      <c r="D370" s="14"/>
      <c r="E370" s="14"/>
      <c r="F370" s="15"/>
      <c r="G370" s="16"/>
      <c r="H370" s="16"/>
      <c r="I370" s="17" t="str">
        <f aca="false">IF(OR(G370="",H370=""),"",H370-G370)</f>
        <v/>
      </c>
      <c r="J370" s="4"/>
      <c r="K370" s="4"/>
      <c r="L370" s="18" t="str">
        <f aca="false">IF(F370="","",IF(COUNTIF('DS XE - TAI XE'!$B$6:$B$505,F370)&gt;0,"✓ Có","Chưa có trong DS xe"))</f>
        <v/>
      </c>
    </row>
    <row r="371" customFormat="false" ht="15" hidden="false" customHeight="false" outlineLevel="0" collapsed="false">
      <c r="A371" s="12" t="str">
        <f aca="false">IF(F371="","",COUNTA($F$8:F371))</f>
        <v/>
      </c>
      <c r="B371" s="4"/>
      <c r="C371" s="13"/>
      <c r="D371" s="14"/>
      <c r="E371" s="14"/>
      <c r="F371" s="15"/>
      <c r="G371" s="16"/>
      <c r="H371" s="16"/>
      <c r="I371" s="17" t="str">
        <f aca="false">IF(OR(G371="",H371=""),"",H371-G371)</f>
        <v/>
      </c>
      <c r="J371" s="4"/>
      <c r="K371" s="4"/>
      <c r="L371" s="18" t="str">
        <f aca="false">IF(F371="","",IF(COUNTIF('DS XE - TAI XE'!$B$6:$B$505,F371)&gt;0,"✓ Có","Chưa có trong DS xe"))</f>
        <v/>
      </c>
    </row>
    <row r="372" customFormat="false" ht="15" hidden="false" customHeight="false" outlineLevel="0" collapsed="false">
      <c r="A372" s="12" t="str">
        <f aca="false">IF(F372="","",COUNTA($F$8:F372))</f>
        <v/>
      </c>
      <c r="B372" s="4"/>
      <c r="C372" s="13"/>
      <c r="D372" s="14"/>
      <c r="E372" s="14"/>
      <c r="F372" s="15"/>
      <c r="G372" s="16"/>
      <c r="H372" s="16"/>
      <c r="I372" s="17" t="str">
        <f aca="false">IF(OR(G372="",H372=""),"",H372-G372)</f>
        <v/>
      </c>
      <c r="J372" s="4"/>
      <c r="K372" s="4"/>
      <c r="L372" s="18" t="str">
        <f aca="false">IF(F372="","",IF(COUNTIF('DS XE - TAI XE'!$B$6:$B$505,F372)&gt;0,"✓ Có","Chưa có trong DS xe"))</f>
        <v/>
      </c>
    </row>
    <row r="373" customFormat="false" ht="15" hidden="false" customHeight="false" outlineLevel="0" collapsed="false">
      <c r="A373" s="12" t="str">
        <f aca="false">IF(F373="","",COUNTA($F$8:F373))</f>
        <v/>
      </c>
      <c r="B373" s="4"/>
      <c r="C373" s="13"/>
      <c r="D373" s="14"/>
      <c r="E373" s="14"/>
      <c r="F373" s="15"/>
      <c r="G373" s="16"/>
      <c r="H373" s="16"/>
      <c r="I373" s="17" t="str">
        <f aca="false">IF(OR(G373="",H373=""),"",H373-G373)</f>
        <v/>
      </c>
      <c r="J373" s="4"/>
      <c r="K373" s="4"/>
      <c r="L373" s="18" t="str">
        <f aca="false">IF(F373="","",IF(COUNTIF('DS XE - TAI XE'!$B$6:$B$505,F373)&gt;0,"✓ Có","Chưa có trong DS xe"))</f>
        <v/>
      </c>
    </row>
    <row r="374" customFormat="false" ht="15" hidden="false" customHeight="false" outlineLevel="0" collapsed="false">
      <c r="A374" s="12" t="str">
        <f aca="false">IF(F374="","",COUNTA($F$8:F374))</f>
        <v/>
      </c>
      <c r="B374" s="4"/>
      <c r="C374" s="13"/>
      <c r="D374" s="14"/>
      <c r="E374" s="14"/>
      <c r="F374" s="15"/>
      <c r="G374" s="16"/>
      <c r="H374" s="16"/>
      <c r="I374" s="17" t="str">
        <f aca="false">IF(OR(G374="",H374=""),"",H374-G374)</f>
        <v/>
      </c>
      <c r="J374" s="4"/>
      <c r="K374" s="4"/>
      <c r="L374" s="18" t="str">
        <f aca="false">IF(F374="","",IF(COUNTIF('DS XE - TAI XE'!$B$6:$B$505,F374)&gt;0,"✓ Có","Chưa có trong DS xe"))</f>
        <v/>
      </c>
    </row>
    <row r="375" customFormat="false" ht="15" hidden="false" customHeight="false" outlineLevel="0" collapsed="false">
      <c r="A375" s="12" t="str">
        <f aca="false">IF(F375="","",COUNTA($F$8:F375))</f>
        <v/>
      </c>
      <c r="B375" s="4"/>
      <c r="C375" s="13"/>
      <c r="D375" s="14"/>
      <c r="E375" s="14"/>
      <c r="F375" s="15"/>
      <c r="G375" s="16"/>
      <c r="H375" s="16"/>
      <c r="I375" s="17" t="str">
        <f aca="false">IF(OR(G375="",H375=""),"",H375-G375)</f>
        <v/>
      </c>
      <c r="J375" s="4"/>
      <c r="K375" s="4"/>
      <c r="L375" s="18" t="str">
        <f aca="false">IF(F375="","",IF(COUNTIF('DS XE - TAI XE'!$B$6:$B$505,F375)&gt;0,"✓ Có","Chưa có trong DS xe"))</f>
        <v/>
      </c>
    </row>
    <row r="376" customFormat="false" ht="15" hidden="false" customHeight="false" outlineLevel="0" collapsed="false">
      <c r="A376" s="12" t="str">
        <f aca="false">IF(F376="","",COUNTA($F$8:F376))</f>
        <v/>
      </c>
      <c r="B376" s="4"/>
      <c r="C376" s="13"/>
      <c r="D376" s="14"/>
      <c r="E376" s="14"/>
      <c r="F376" s="15"/>
      <c r="G376" s="16"/>
      <c r="H376" s="16"/>
      <c r="I376" s="17" t="str">
        <f aca="false">IF(OR(G376="",H376=""),"",H376-G376)</f>
        <v/>
      </c>
      <c r="J376" s="4"/>
      <c r="K376" s="4"/>
      <c r="L376" s="18" t="str">
        <f aca="false">IF(F376="","",IF(COUNTIF('DS XE - TAI XE'!$B$6:$B$505,F376)&gt;0,"✓ Có","Chưa có trong DS xe"))</f>
        <v/>
      </c>
    </row>
    <row r="377" customFormat="false" ht="15" hidden="false" customHeight="false" outlineLevel="0" collapsed="false">
      <c r="A377" s="12" t="str">
        <f aca="false">IF(F377="","",COUNTA($F$8:F377))</f>
        <v/>
      </c>
      <c r="B377" s="4"/>
      <c r="C377" s="13"/>
      <c r="D377" s="14"/>
      <c r="E377" s="14"/>
      <c r="F377" s="15"/>
      <c r="G377" s="16"/>
      <c r="H377" s="16"/>
      <c r="I377" s="17" t="str">
        <f aca="false">IF(OR(G377="",H377=""),"",H377-G377)</f>
        <v/>
      </c>
      <c r="J377" s="4"/>
      <c r="K377" s="4"/>
      <c r="L377" s="18" t="str">
        <f aca="false">IF(F377="","",IF(COUNTIF('DS XE - TAI XE'!$B$6:$B$505,F377)&gt;0,"✓ Có","Chưa có trong DS xe"))</f>
        <v/>
      </c>
    </row>
    <row r="378" customFormat="false" ht="15" hidden="false" customHeight="false" outlineLevel="0" collapsed="false">
      <c r="A378" s="12" t="str">
        <f aca="false">IF(F378="","",COUNTA($F$8:F378))</f>
        <v/>
      </c>
      <c r="B378" s="4"/>
      <c r="C378" s="13"/>
      <c r="D378" s="14"/>
      <c r="E378" s="14"/>
      <c r="F378" s="15"/>
      <c r="G378" s="16"/>
      <c r="H378" s="16"/>
      <c r="I378" s="17" t="str">
        <f aca="false">IF(OR(G378="",H378=""),"",H378-G378)</f>
        <v/>
      </c>
      <c r="J378" s="4"/>
      <c r="K378" s="4"/>
      <c r="L378" s="18" t="str">
        <f aca="false">IF(F378="","",IF(COUNTIF('DS XE - TAI XE'!$B$6:$B$505,F378)&gt;0,"✓ Có","Chưa có trong DS xe"))</f>
        <v/>
      </c>
    </row>
    <row r="379" customFormat="false" ht="15" hidden="false" customHeight="false" outlineLevel="0" collapsed="false">
      <c r="A379" s="12" t="str">
        <f aca="false">IF(F379="","",COUNTA($F$8:F379))</f>
        <v/>
      </c>
      <c r="B379" s="4"/>
      <c r="C379" s="13"/>
      <c r="D379" s="14"/>
      <c r="E379" s="14"/>
      <c r="F379" s="15"/>
      <c r="G379" s="16"/>
      <c r="H379" s="16"/>
      <c r="I379" s="17" t="str">
        <f aca="false">IF(OR(G379="",H379=""),"",H379-G379)</f>
        <v/>
      </c>
      <c r="J379" s="4"/>
      <c r="K379" s="4"/>
      <c r="L379" s="18" t="str">
        <f aca="false">IF(F379="","",IF(COUNTIF('DS XE - TAI XE'!$B$6:$B$505,F379)&gt;0,"✓ Có","Chưa có trong DS xe"))</f>
        <v/>
      </c>
    </row>
    <row r="380" customFormat="false" ht="15" hidden="false" customHeight="false" outlineLevel="0" collapsed="false">
      <c r="A380" s="12" t="str">
        <f aca="false">IF(F380="","",COUNTA($F$8:F380))</f>
        <v/>
      </c>
      <c r="B380" s="4"/>
      <c r="C380" s="13"/>
      <c r="D380" s="14"/>
      <c r="E380" s="14"/>
      <c r="F380" s="15"/>
      <c r="G380" s="16"/>
      <c r="H380" s="16"/>
      <c r="I380" s="17" t="str">
        <f aca="false">IF(OR(G380="",H380=""),"",H380-G380)</f>
        <v/>
      </c>
      <c r="J380" s="4"/>
      <c r="K380" s="4"/>
      <c r="L380" s="18" t="str">
        <f aca="false">IF(F380="","",IF(COUNTIF('DS XE - TAI XE'!$B$6:$B$505,F380)&gt;0,"✓ Có","Chưa có trong DS xe"))</f>
        <v/>
      </c>
    </row>
    <row r="381" customFormat="false" ht="15" hidden="false" customHeight="false" outlineLevel="0" collapsed="false">
      <c r="A381" s="12" t="str">
        <f aca="false">IF(F381="","",COUNTA($F$8:F381))</f>
        <v/>
      </c>
      <c r="B381" s="4"/>
      <c r="C381" s="13"/>
      <c r="D381" s="14"/>
      <c r="E381" s="14"/>
      <c r="F381" s="15"/>
      <c r="G381" s="16"/>
      <c r="H381" s="16"/>
      <c r="I381" s="17" t="str">
        <f aca="false">IF(OR(G381="",H381=""),"",H381-G381)</f>
        <v/>
      </c>
      <c r="J381" s="4"/>
      <c r="K381" s="4"/>
      <c r="L381" s="18" t="str">
        <f aca="false">IF(F381="","",IF(COUNTIF('DS XE - TAI XE'!$B$6:$B$505,F381)&gt;0,"✓ Có","Chưa có trong DS xe"))</f>
        <v/>
      </c>
    </row>
    <row r="382" customFormat="false" ht="15" hidden="false" customHeight="false" outlineLevel="0" collapsed="false">
      <c r="A382" s="12" t="str">
        <f aca="false">IF(F382="","",COUNTA($F$8:F382))</f>
        <v/>
      </c>
      <c r="B382" s="4"/>
      <c r="C382" s="13"/>
      <c r="D382" s="14"/>
      <c r="E382" s="14"/>
      <c r="F382" s="15"/>
      <c r="G382" s="16"/>
      <c r="H382" s="16"/>
      <c r="I382" s="17" t="str">
        <f aca="false">IF(OR(G382="",H382=""),"",H382-G382)</f>
        <v/>
      </c>
      <c r="J382" s="4"/>
      <c r="K382" s="4"/>
      <c r="L382" s="18" t="str">
        <f aca="false">IF(F382="","",IF(COUNTIF('DS XE - TAI XE'!$B$6:$B$505,F382)&gt;0,"✓ Có","Chưa có trong DS xe"))</f>
        <v/>
      </c>
    </row>
    <row r="383" customFormat="false" ht="15" hidden="false" customHeight="false" outlineLevel="0" collapsed="false">
      <c r="A383" s="12" t="str">
        <f aca="false">IF(F383="","",COUNTA($F$8:F383))</f>
        <v/>
      </c>
      <c r="B383" s="4"/>
      <c r="C383" s="13"/>
      <c r="D383" s="14"/>
      <c r="E383" s="14"/>
      <c r="F383" s="15"/>
      <c r="G383" s="16"/>
      <c r="H383" s="16"/>
      <c r="I383" s="17" t="str">
        <f aca="false">IF(OR(G383="",H383=""),"",H383-G383)</f>
        <v/>
      </c>
      <c r="J383" s="4"/>
      <c r="K383" s="4"/>
      <c r="L383" s="18" t="str">
        <f aca="false">IF(F383="","",IF(COUNTIF('DS XE - TAI XE'!$B$6:$B$505,F383)&gt;0,"✓ Có","Chưa có trong DS xe"))</f>
        <v/>
      </c>
    </row>
    <row r="384" customFormat="false" ht="15" hidden="false" customHeight="false" outlineLevel="0" collapsed="false">
      <c r="A384" s="12" t="str">
        <f aca="false">IF(F384="","",COUNTA($F$8:F384))</f>
        <v/>
      </c>
      <c r="B384" s="4"/>
      <c r="C384" s="13"/>
      <c r="D384" s="14"/>
      <c r="E384" s="14"/>
      <c r="F384" s="15"/>
      <c r="G384" s="16"/>
      <c r="H384" s="16"/>
      <c r="I384" s="17" t="str">
        <f aca="false">IF(OR(G384="",H384=""),"",H384-G384)</f>
        <v/>
      </c>
      <c r="J384" s="4"/>
      <c r="K384" s="4"/>
      <c r="L384" s="18" t="str">
        <f aca="false">IF(F384="","",IF(COUNTIF('DS XE - TAI XE'!$B$6:$B$505,F384)&gt;0,"✓ Có","Chưa có trong DS xe"))</f>
        <v/>
      </c>
    </row>
    <row r="385" customFormat="false" ht="15" hidden="false" customHeight="false" outlineLevel="0" collapsed="false">
      <c r="A385" s="12" t="str">
        <f aca="false">IF(F385="","",COUNTA($F$8:F385))</f>
        <v/>
      </c>
      <c r="B385" s="4"/>
      <c r="C385" s="13"/>
      <c r="D385" s="14"/>
      <c r="E385" s="14"/>
      <c r="F385" s="15"/>
      <c r="G385" s="16"/>
      <c r="H385" s="16"/>
      <c r="I385" s="17" t="str">
        <f aca="false">IF(OR(G385="",H385=""),"",H385-G385)</f>
        <v/>
      </c>
      <c r="J385" s="4"/>
      <c r="K385" s="4"/>
      <c r="L385" s="18" t="str">
        <f aca="false">IF(F385="","",IF(COUNTIF('DS XE - TAI XE'!$B$6:$B$505,F385)&gt;0,"✓ Có","Chưa có trong DS xe"))</f>
        <v/>
      </c>
    </row>
    <row r="386" customFormat="false" ht="15" hidden="false" customHeight="false" outlineLevel="0" collapsed="false">
      <c r="A386" s="12" t="str">
        <f aca="false">IF(F386="","",COUNTA($F$8:F386))</f>
        <v/>
      </c>
      <c r="B386" s="4"/>
      <c r="C386" s="13"/>
      <c r="D386" s="14"/>
      <c r="E386" s="14"/>
      <c r="F386" s="15"/>
      <c r="G386" s="16"/>
      <c r="H386" s="16"/>
      <c r="I386" s="17" t="str">
        <f aca="false">IF(OR(G386="",H386=""),"",H386-G386)</f>
        <v/>
      </c>
      <c r="J386" s="4"/>
      <c r="K386" s="4"/>
      <c r="L386" s="18" t="str">
        <f aca="false">IF(F386="","",IF(COUNTIF('DS XE - TAI XE'!$B$6:$B$505,F386)&gt;0,"✓ Có","Chưa có trong DS xe"))</f>
        <v/>
      </c>
    </row>
    <row r="387" customFormat="false" ht="15" hidden="false" customHeight="false" outlineLevel="0" collapsed="false">
      <c r="A387" s="12" t="str">
        <f aca="false">IF(F387="","",COUNTA($F$8:F387))</f>
        <v/>
      </c>
      <c r="B387" s="4"/>
      <c r="C387" s="13"/>
      <c r="D387" s="14"/>
      <c r="E387" s="14"/>
      <c r="F387" s="15"/>
      <c r="G387" s="16"/>
      <c r="H387" s="16"/>
      <c r="I387" s="17" t="str">
        <f aca="false">IF(OR(G387="",H387=""),"",H387-G387)</f>
        <v/>
      </c>
      <c r="J387" s="4"/>
      <c r="K387" s="4"/>
      <c r="L387" s="18" t="str">
        <f aca="false">IF(F387="","",IF(COUNTIF('DS XE - TAI XE'!$B$6:$B$505,F387)&gt;0,"✓ Có","Chưa có trong DS xe"))</f>
        <v/>
      </c>
    </row>
    <row r="388" customFormat="false" ht="15" hidden="false" customHeight="false" outlineLevel="0" collapsed="false">
      <c r="A388" s="12" t="str">
        <f aca="false">IF(F388="","",COUNTA($F$8:F388))</f>
        <v/>
      </c>
      <c r="B388" s="4"/>
      <c r="C388" s="13"/>
      <c r="D388" s="14"/>
      <c r="E388" s="14"/>
      <c r="F388" s="15"/>
      <c r="G388" s="16"/>
      <c r="H388" s="16"/>
      <c r="I388" s="17" t="str">
        <f aca="false">IF(OR(G388="",H388=""),"",H388-G388)</f>
        <v/>
      </c>
      <c r="J388" s="4"/>
      <c r="K388" s="4"/>
      <c r="L388" s="18" t="str">
        <f aca="false">IF(F388="","",IF(COUNTIF('DS XE - TAI XE'!$B$6:$B$505,F388)&gt;0,"✓ Có","Chưa có trong DS xe"))</f>
        <v/>
      </c>
    </row>
    <row r="389" customFormat="false" ht="15" hidden="false" customHeight="false" outlineLevel="0" collapsed="false">
      <c r="A389" s="12" t="str">
        <f aca="false">IF(F389="","",COUNTA($F$8:F389))</f>
        <v/>
      </c>
      <c r="B389" s="4"/>
      <c r="C389" s="13"/>
      <c r="D389" s="14"/>
      <c r="E389" s="14"/>
      <c r="F389" s="15"/>
      <c r="G389" s="16"/>
      <c r="H389" s="16"/>
      <c r="I389" s="17" t="str">
        <f aca="false">IF(OR(G389="",H389=""),"",H389-G389)</f>
        <v/>
      </c>
      <c r="J389" s="4"/>
      <c r="K389" s="4"/>
      <c r="L389" s="18" t="str">
        <f aca="false">IF(F389="","",IF(COUNTIF('DS XE - TAI XE'!$B$6:$B$505,F389)&gt;0,"✓ Có","Chưa có trong DS xe"))</f>
        <v/>
      </c>
    </row>
    <row r="390" customFormat="false" ht="15" hidden="false" customHeight="false" outlineLevel="0" collapsed="false">
      <c r="A390" s="12" t="str">
        <f aca="false">IF(F390="","",COUNTA($F$8:F390))</f>
        <v/>
      </c>
      <c r="B390" s="4"/>
      <c r="C390" s="13"/>
      <c r="D390" s="14"/>
      <c r="E390" s="14"/>
      <c r="F390" s="15"/>
      <c r="G390" s="16"/>
      <c r="H390" s="16"/>
      <c r="I390" s="17" t="str">
        <f aca="false">IF(OR(G390="",H390=""),"",H390-G390)</f>
        <v/>
      </c>
      <c r="J390" s="4"/>
      <c r="K390" s="4"/>
      <c r="L390" s="18" t="str">
        <f aca="false">IF(F390="","",IF(COUNTIF('DS XE - TAI XE'!$B$6:$B$505,F390)&gt;0,"✓ Có","Chưa có trong DS xe"))</f>
        <v/>
      </c>
    </row>
    <row r="391" customFormat="false" ht="15" hidden="false" customHeight="false" outlineLevel="0" collapsed="false">
      <c r="A391" s="12" t="str">
        <f aca="false">IF(F391="","",COUNTA($F$8:F391))</f>
        <v/>
      </c>
      <c r="B391" s="4"/>
      <c r="C391" s="13"/>
      <c r="D391" s="14"/>
      <c r="E391" s="14"/>
      <c r="F391" s="15"/>
      <c r="G391" s="16"/>
      <c r="H391" s="16"/>
      <c r="I391" s="17" t="str">
        <f aca="false">IF(OR(G391="",H391=""),"",H391-G391)</f>
        <v/>
      </c>
      <c r="J391" s="4"/>
      <c r="K391" s="4"/>
      <c r="L391" s="18" t="str">
        <f aca="false">IF(F391="","",IF(COUNTIF('DS XE - TAI XE'!$B$6:$B$505,F391)&gt;0,"✓ Có","Chưa có trong DS xe"))</f>
        <v/>
      </c>
    </row>
    <row r="392" customFormat="false" ht="15" hidden="false" customHeight="false" outlineLevel="0" collapsed="false">
      <c r="A392" s="12" t="str">
        <f aca="false">IF(F392="","",COUNTA($F$8:F392))</f>
        <v/>
      </c>
      <c r="B392" s="4"/>
      <c r="C392" s="13"/>
      <c r="D392" s="14"/>
      <c r="E392" s="14"/>
      <c r="F392" s="15"/>
      <c r="G392" s="16"/>
      <c r="H392" s="16"/>
      <c r="I392" s="17" t="str">
        <f aca="false">IF(OR(G392="",H392=""),"",H392-G392)</f>
        <v/>
      </c>
      <c r="J392" s="4"/>
      <c r="K392" s="4"/>
      <c r="L392" s="18" t="str">
        <f aca="false">IF(F392="","",IF(COUNTIF('DS XE - TAI XE'!$B$6:$B$505,F392)&gt;0,"✓ Có","Chưa có trong DS xe"))</f>
        <v/>
      </c>
    </row>
    <row r="393" customFormat="false" ht="15" hidden="false" customHeight="false" outlineLevel="0" collapsed="false">
      <c r="A393" s="12" t="str">
        <f aca="false">IF(F393="","",COUNTA($F$8:F393))</f>
        <v/>
      </c>
      <c r="B393" s="4"/>
      <c r="C393" s="13"/>
      <c r="D393" s="14"/>
      <c r="E393" s="14"/>
      <c r="F393" s="15"/>
      <c r="G393" s="16"/>
      <c r="H393" s="16"/>
      <c r="I393" s="17" t="str">
        <f aca="false">IF(OR(G393="",H393=""),"",H393-G393)</f>
        <v/>
      </c>
      <c r="J393" s="4"/>
      <c r="K393" s="4"/>
      <c r="L393" s="18" t="str">
        <f aca="false">IF(F393="","",IF(COUNTIF('DS XE - TAI XE'!$B$6:$B$505,F393)&gt;0,"✓ Có","Chưa có trong DS xe"))</f>
        <v/>
      </c>
    </row>
    <row r="394" customFormat="false" ht="15" hidden="false" customHeight="false" outlineLevel="0" collapsed="false">
      <c r="A394" s="12" t="str">
        <f aca="false">IF(F394="","",COUNTA($F$8:F394))</f>
        <v/>
      </c>
      <c r="B394" s="4"/>
      <c r="C394" s="13"/>
      <c r="D394" s="14"/>
      <c r="E394" s="14"/>
      <c r="F394" s="15"/>
      <c r="G394" s="16"/>
      <c r="H394" s="16"/>
      <c r="I394" s="17" t="str">
        <f aca="false">IF(OR(G394="",H394=""),"",H394-G394)</f>
        <v/>
      </c>
      <c r="J394" s="4"/>
      <c r="K394" s="4"/>
      <c r="L394" s="18" t="str">
        <f aca="false">IF(F394="","",IF(COUNTIF('DS XE - TAI XE'!$B$6:$B$505,F394)&gt;0,"✓ Có","Chưa có trong DS xe"))</f>
        <v/>
      </c>
    </row>
    <row r="395" customFormat="false" ht="15" hidden="false" customHeight="false" outlineLevel="0" collapsed="false">
      <c r="A395" s="12" t="str">
        <f aca="false">IF(F395="","",COUNTA($F$8:F395))</f>
        <v/>
      </c>
      <c r="B395" s="4"/>
      <c r="C395" s="13"/>
      <c r="D395" s="14"/>
      <c r="E395" s="14"/>
      <c r="F395" s="15"/>
      <c r="G395" s="16"/>
      <c r="H395" s="16"/>
      <c r="I395" s="17" t="str">
        <f aca="false">IF(OR(G395="",H395=""),"",H395-G395)</f>
        <v/>
      </c>
      <c r="J395" s="4"/>
      <c r="K395" s="4"/>
      <c r="L395" s="18" t="str">
        <f aca="false">IF(F395="","",IF(COUNTIF('DS XE - TAI XE'!$B$6:$B$505,F395)&gt;0,"✓ Có","Chưa có trong DS xe"))</f>
        <v/>
      </c>
    </row>
    <row r="396" customFormat="false" ht="15" hidden="false" customHeight="false" outlineLevel="0" collapsed="false">
      <c r="A396" s="12" t="str">
        <f aca="false">IF(F396="","",COUNTA($F$8:F396))</f>
        <v/>
      </c>
      <c r="B396" s="4"/>
      <c r="C396" s="13"/>
      <c r="D396" s="14"/>
      <c r="E396" s="14"/>
      <c r="F396" s="15"/>
      <c r="G396" s="16"/>
      <c r="H396" s="16"/>
      <c r="I396" s="17" t="str">
        <f aca="false">IF(OR(G396="",H396=""),"",H396-G396)</f>
        <v/>
      </c>
      <c r="J396" s="4"/>
      <c r="K396" s="4"/>
      <c r="L396" s="18" t="str">
        <f aca="false">IF(F396="","",IF(COUNTIF('DS XE - TAI XE'!$B$6:$B$505,F396)&gt;0,"✓ Có","Chưa có trong DS xe"))</f>
        <v/>
      </c>
    </row>
    <row r="397" customFormat="false" ht="15" hidden="false" customHeight="false" outlineLevel="0" collapsed="false">
      <c r="A397" s="12" t="str">
        <f aca="false">IF(F397="","",COUNTA($F$8:F397))</f>
        <v/>
      </c>
      <c r="B397" s="4"/>
      <c r="C397" s="13"/>
      <c r="D397" s="14"/>
      <c r="E397" s="14"/>
      <c r="F397" s="15"/>
      <c r="G397" s="16"/>
      <c r="H397" s="16"/>
      <c r="I397" s="17" t="str">
        <f aca="false">IF(OR(G397="",H397=""),"",H397-G397)</f>
        <v/>
      </c>
      <c r="J397" s="4"/>
      <c r="K397" s="4"/>
      <c r="L397" s="18" t="str">
        <f aca="false">IF(F397="","",IF(COUNTIF('DS XE - TAI XE'!$B$6:$B$505,F397)&gt;0,"✓ Có","Chưa có trong DS xe"))</f>
        <v/>
      </c>
    </row>
    <row r="398" customFormat="false" ht="15" hidden="false" customHeight="false" outlineLevel="0" collapsed="false">
      <c r="A398" s="12" t="str">
        <f aca="false">IF(F398="","",COUNTA($F$8:F398))</f>
        <v/>
      </c>
      <c r="B398" s="4"/>
      <c r="C398" s="13"/>
      <c r="D398" s="14"/>
      <c r="E398" s="14"/>
      <c r="F398" s="15"/>
      <c r="G398" s="16"/>
      <c r="H398" s="16"/>
      <c r="I398" s="17" t="str">
        <f aca="false">IF(OR(G398="",H398=""),"",H398-G398)</f>
        <v/>
      </c>
      <c r="J398" s="4"/>
      <c r="K398" s="4"/>
      <c r="L398" s="18" t="str">
        <f aca="false">IF(F398="","",IF(COUNTIF('DS XE - TAI XE'!$B$6:$B$505,F398)&gt;0,"✓ Có","Chưa có trong DS xe"))</f>
        <v/>
      </c>
    </row>
    <row r="399" customFormat="false" ht="15" hidden="false" customHeight="false" outlineLevel="0" collapsed="false">
      <c r="A399" s="12" t="str">
        <f aca="false">IF(F399="","",COUNTA($F$8:F399))</f>
        <v/>
      </c>
      <c r="B399" s="4"/>
      <c r="C399" s="13"/>
      <c r="D399" s="14"/>
      <c r="E399" s="14"/>
      <c r="F399" s="15"/>
      <c r="G399" s="16"/>
      <c r="H399" s="16"/>
      <c r="I399" s="17" t="str">
        <f aca="false">IF(OR(G399="",H399=""),"",H399-G399)</f>
        <v/>
      </c>
      <c r="J399" s="4"/>
      <c r="K399" s="4"/>
      <c r="L399" s="18" t="str">
        <f aca="false">IF(F399="","",IF(COUNTIF('DS XE - TAI XE'!$B$6:$B$505,F399)&gt;0,"✓ Có","Chưa có trong DS xe"))</f>
        <v/>
      </c>
    </row>
    <row r="400" customFormat="false" ht="15" hidden="false" customHeight="false" outlineLevel="0" collapsed="false">
      <c r="A400" s="12" t="str">
        <f aca="false">IF(F400="","",COUNTA($F$8:F400))</f>
        <v/>
      </c>
      <c r="B400" s="4"/>
      <c r="C400" s="13"/>
      <c r="D400" s="14"/>
      <c r="E400" s="14"/>
      <c r="F400" s="15"/>
      <c r="G400" s="16"/>
      <c r="H400" s="16"/>
      <c r="I400" s="17" t="str">
        <f aca="false">IF(OR(G400="",H400=""),"",H400-G400)</f>
        <v/>
      </c>
      <c r="J400" s="4"/>
      <c r="K400" s="4"/>
      <c r="L400" s="18" t="str">
        <f aca="false">IF(F400="","",IF(COUNTIF('DS XE - TAI XE'!$B$6:$B$505,F400)&gt;0,"✓ Có","Chưa có trong DS xe"))</f>
        <v/>
      </c>
    </row>
    <row r="401" customFormat="false" ht="15" hidden="false" customHeight="false" outlineLevel="0" collapsed="false">
      <c r="A401" s="12" t="str">
        <f aca="false">IF(F401="","",COUNTA($F$8:F401))</f>
        <v/>
      </c>
      <c r="B401" s="4"/>
      <c r="C401" s="13"/>
      <c r="D401" s="14"/>
      <c r="E401" s="14"/>
      <c r="F401" s="15"/>
      <c r="G401" s="16"/>
      <c r="H401" s="16"/>
      <c r="I401" s="17" t="str">
        <f aca="false">IF(OR(G401="",H401=""),"",H401-G401)</f>
        <v/>
      </c>
      <c r="J401" s="4"/>
      <c r="K401" s="4"/>
      <c r="L401" s="18" t="str">
        <f aca="false">IF(F401="","",IF(COUNTIF('DS XE - TAI XE'!$B$6:$B$505,F401)&gt;0,"✓ Có","Chưa có trong DS xe"))</f>
        <v/>
      </c>
    </row>
    <row r="402" customFormat="false" ht="15" hidden="false" customHeight="false" outlineLevel="0" collapsed="false">
      <c r="A402" s="12" t="str">
        <f aca="false">IF(F402="","",COUNTA($F$8:F402))</f>
        <v/>
      </c>
      <c r="B402" s="4"/>
      <c r="C402" s="13"/>
      <c r="D402" s="14"/>
      <c r="E402" s="14"/>
      <c r="F402" s="15"/>
      <c r="G402" s="16"/>
      <c r="H402" s="16"/>
      <c r="I402" s="17" t="str">
        <f aca="false">IF(OR(G402="",H402=""),"",H402-G402)</f>
        <v/>
      </c>
      <c r="J402" s="4"/>
      <c r="K402" s="4"/>
      <c r="L402" s="18" t="str">
        <f aca="false">IF(F402="","",IF(COUNTIF('DS XE - TAI XE'!$B$6:$B$505,F402)&gt;0,"✓ Có","Chưa có trong DS xe"))</f>
        <v/>
      </c>
    </row>
    <row r="403" customFormat="false" ht="15" hidden="false" customHeight="false" outlineLevel="0" collapsed="false">
      <c r="A403" s="12" t="str">
        <f aca="false">IF(F403="","",COUNTA($F$8:F403))</f>
        <v/>
      </c>
      <c r="B403" s="4"/>
      <c r="C403" s="13"/>
      <c r="D403" s="14"/>
      <c r="E403" s="14"/>
      <c r="F403" s="15"/>
      <c r="G403" s="16"/>
      <c r="H403" s="16"/>
      <c r="I403" s="17" t="str">
        <f aca="false">IF(OR(G403="",H403=""),"",H403-G403)</f>
        <v/>
      </c>
      <c r="J403" s="4"/>
      <c r="K403" s="4"/>
      <c r="L403" s="18" t="str">
        <f aca="false">IF(F403="","",IF(COUNTIF('DS XE - TAI XE'!$B$6:$B$505,F403)&gt;0,"✓ Có","Chưa có trong DS xe"))</f>
        <v/>
      </c>
    </row>
    <row r="404" customFormat="false" ht="15" hidden="false" customHeight="false" outlineLevel="0" collapsed="false">
      <c r="A404" s="12" t="str">
        <f aca="false">IF(F404="","",COUNTA($F$8:F404))</f>
        <v/>
      </c>
      <c r="B404" s="4"/>
      <c r="C404" s="13"/>
      <c r="D404" s="14"/>
      <c r="E404" s="14"/>
      <c r="F404" s="15"/>
      <c r="G404" s="16"/>
      <c r="H404" s="16"/>
      <c r="I404" s="17" t="str">
        <f aca="false">IF(OR(G404="",H404=""),"",H404-G404)</f>
        <v/>
      </c>
      <c r="J404" s="4"/>
      <c r="K404" s="4"/>
      <c r="L404" s="18" t="str">
        <f aca="false">IF(F404="","",IF(COUNTIF('DS XE - TAI XE'!$B$6:$B$505,F404)&gt;0,"✓ Có","Chưa có trong DS xe"))</f>
        <v/>
      </c>
    </row>
    <row r="405" customFormat="false" ht="15" hidden="false" customHeight="false" outlineLevel="0" collapsed="false">
      <c r="A405" s="12" t="str">
        <f aca="false">IF(F405="","",COUNTA($F$8:F405))</f>
        <v/>
      </c>
      <c r="B405" s="4"/>
      <c r="C405" s="13"/>
      <c r="D405" s="14"/>
      <c r="E405" s="14"/>
      <c r="F405" s="15"/>
      <c r="G405" s="16"/>
      <c r="H405" s="16"/>
      <c r="I405" s="17" t="str">
        <f aca="false">IF(OR(G405="",H405=""),"",H405-G405)</f>
        <v/>
      </c>
      <c r="J405" s="4"/>
      <c r="K405" s="4"/>
      <c r="L405" s="18" t="str">
        <f aca="false">IF(F405="","",IF(COUNTIF('DS XE - TAI XE'!$B$6:$B$505,F405)&gt;0,"✓ Có","Chưa có trong DS xe"))</f>
        <v/>
      </c>
    </row>
    <row r="406" customFormat="false" ht="15" hidden="false" customHeight="false" outlineLevel="0" collapsed="false">
      <c r="A406" s="12" t="str">
        <f aca="false">IF(F406="","",COUNTA($F$8:F406))</f>
        <v/>
      </c>
      <c r="B406" s="4"/>
      <c r="C406" s="13"/>
      <c r="D406" s="14"/>
      <c r="E406" s="14"/>
      <c r="F406" s="15"/>
      <c r="G406" s="16"/>
      <c r="H406" s="16"/>
      <c r="I406" s="17" t="str">
        <f aca="false">IF(OR(G406="",H406=""),"",H406-G406)</f>
        <v/>
      </c>
      <c r="J406" s="4"/>
      <c r="K406" s="4"/>
      <c r="L406" s="18" t="str">
        <f aca="false">IF(F406="","",IF(COUNTIF('DS XE - TAI XE'!$B$6:$B$505,F406)&gt;0,"✓ Có","Chưa có trong DS xe"))</f>
        <v/>
      </c>
    </row>
    <row r="407" customFormat="false" ht="15" hidden="false" customHeight="false" outlineLevel="0" collapsed="false">
      <c r="A407" s="12" t="str">
        <f aca="false">IF(F407="","",COUNTA($F$8:F407))</f>
        <v/>
      </c>
      <c r="B407" s="4"/>
      <c r="C407" s="13"/>
      <c r="D407" s="14"/>
      <c r="E407" s="14"/>
      <c r="F407" s="15"/>
      <c r="G407" s="16"/>
      <c r="H407" s="16"/>
      <c r="I407" s="17" t="str">
        <f aca="false">IF(OR(G407="",H407=""),"",H407-G407)</f>
        <v/>
      </c>
      <c r="J407" s="4"/>
      <c r="K407" s="4"/>
      <c r="L407" s="18" t="str">
        <f aca="false">IF(F407="","",IF(COUNTIF('DS XE - TAI XE'!$B$6:$B$505,F407)&gt;0,"✓ Có","Chưa có trong DS xe"))</f>
        <v/>
      </c>
    </row>
    <row r="408" customFormat="false" ht="15" hidden="false" customHeight="false" outlineLevel="0" collapsed="false">
      <c r="A408" s="12" t="str">
        <f aca="false">IF(F408="","",COUNTA($F$8:F408))</f>
        <v/>
      </c>
      <c r="B408" s="4"/>
      <c r="C408" s="13"/>
      <c r="D408" s="14"/>
      <c r="E408" s="14"/>
      <c r="F408" s="15"/>
      <c r="G408" s="16"/>
      <c r="H408" s="16"/>
      <c r="I408" s="17" t="str">
        <f aca="false">IF(OR(G408="",H408=""),"",H408-G408)</f>
        <v/>
      </c>
      <c r="J408" s="4"/>
      <c r="K408" s="4"/>
      <c r="L408" s="18" t="str">
        <f aca="false">IF(F408="","",IF(COUNTIF('DS XE - TAI XE'!$B$6:$B$505,F408)&gt;0,"✓ Có","Chưa có trong DS xe"))</f>
        <v/>
      </c>
    </row>
    <row r="409" customFormat="false" ht="15" hidden="false" customHeight="false" outlineLevel="0" collapsed="false">
      <c r="A409" s="12" t="str">
        <f aca="false">IF(F409="","",COUNTA($F$8:F409))</f>
        <v/>
      </c>
      <c r="B409" s="4"/>
      <c r="C409" s="13"/>
      <c r="D409" s="14"/>
      <c r="E409" s="14"/>
      <c r="F409" s="15"/>
      <c r="G409" s="16"/>
      <c r="H409" s="16"/>
      <c r="I409" s="17" t="str">
        <f aca="false">IF(OR(G409="",H409=""),"",H409-G409)</f>
        <v/>
      </c>
      <c r="J409" s="4"/>
      <c r="K409" s="4"/>
      <c r="L409" s="18" t="str">
        <f aca="false">IF(F409="","",IF(COUNTIF('DS XE - TAI XE'!$B$6:$B$505,F409)&gt;0,"✓ Có","Chưa có trong DS xe"))</f>
        <v/>
      </c>
    </row>
    <row r="410" customFormat="false" ht="15" hidden="false" customHeight="false" outlineLevel="0" collapsed="false">
      <c r="A410" s="12" t="str">
        <f aca="false">IF(F410="","",COUNTA($F$8:F410))</f>
        <v/>
      </c>
      <c r="B410" s="4"/>
      <c r="C410" s="13"/>
      <c r="D410" s="14"/>
      <c r="E410" s="14"/>
      <c r="F410" s="15"/>
      <c r="G410" s="16"/>
      <c r="H410" s="16"/>
      <c r="I410" s="17" t="str">
        <f aca="false">IF(OR(G410="",H410=""),"",H410-G410)</f>
        <v/>
      </c>
      <c r="J410" s="4"/>
      <c r="K410" s="4"/>
      <c r="L410" s="18" t="str">
        <f aca="false">IF(F410="","",IF(COUNTIF('DS XE - TAI XE'!$B$6:$B$505,F410)&gt;0,"✓ Có","Chưa có trong DS xe"))</f>
        <v/>
      </c>
    </row>
    <row r="411" customFormat="false" ht="15" hidden="false" customHeight="false" outlineLevel="0" collapsed="false">
      <c r="A411" s="12" t="str">
        <f aca="false">IF(F411="","",COUNTA($F$8:F411))</f>
        <v/>
      </c>
      <c r="B411" s="4"/>
      <c r="C411" s="13"/>
      <c r="D411" s="14"/>
      <c r="E411" s="14"/>
      <c r="F411" s="15"/>
      <c r="G411" s="16"/>
      <c r="H411" s="16"/>
      <c r="I411" s="17" t="str">
        <f aca="false">IF(OR(G411="",H411=""),"",H411-G411)</f>
        <v/>
      </c>
      <c r="J411" s="4"/>
      <c r="K411" s="4"/>
      <c r="L411" s="18" t="str">
        <f aca="false">IF(F411="","",IF(COUNTIF('DS XE - TAI XE'!$B$6:$B$505,F411)&gt;0,"✓ Có","Chưa có trong DS xe"))</f>
        <v/>
      </c>
    </row>
    <row r="412" customFormat="false" ht="15" hidden="false" customHeight="false" outlineLevel="0" collapsed="false">
      <c r="A412" s="12" t="str">
        <f aca="false">IF(F412="","",COUNTA($F$8:F412))</f>
        <v/>
      </c>
      <c r="B412" s="4"/>
      <c r="C412" s="13"/>
      <c r="D412" s="14"/>
      <c r="E412" s="14"/>
      <c r="F412" s="15"/>
      <c r="G412" s="16"/>
      <c r="H412" s="16"/>
      <c r="I412" s="17" t="str">
        <f aca="false">IF(OR(G412="",H412=""),"",H412-G412)</f>
        <v/>
      </c>
      <c r="J412" s="4"/>
      <c r="K412" s="4"/>
      <c r="L412" s="18" t="str">
        <f aca="false">IF(F412="","",IF(COUNTIF('DS XE - TAI XE'!$B$6:$B$505,F412)&gt;0,"✓ Có","Chưa có trong DS xe"))</f>
        <v/>
      </c>
    </row>
    <row r="413" customFormat="false" ht="15" hidden="false" customHeight="false" outlineLevel="0" collapsed="false">
      <c r="A413" s="12" t="str">
        <f aca="false">IF(F413="","",COUNTA($F$8:F413))</f>
        <v/>
      </c>
      <c r="B413" s="4"/>
      <c r="C413" s="13"/>
      <c r="D413" s="14"/>
      <c r="E413" s="14"/>
      <c r="F413" s="15"/>
      <c r="G413" s="16"/>
      <c r="H413" s="16"/>
      <c r="I413" s="17" t="str">
        <f aca="false">IF(OR(G413="",H413=""),"",H413-G413)</f>
        <v/>
      </c>
      <c r="J413" s="4"/>
      <c r="K413" s="4"/>
      <c r="L413" s="18" t="str">
        <f aca="false">IF(F413="","",IF(COUNTIF('DS XE - TAI XE'!$B$6:$B$505,F413)&gt;0,"✓ Có","Chưa có trong DS xe"))</f>
        <v/>
      </c>
    </row>
    <row r="414" customFormat="false" ht="15" hidden="false" customHeight="false" outlineLevel="0" collapsed="false">
      <c r="A414" s="12" t="str">
        <f aca="false">IF(F414="","",COUNTA($F$8:F414))</f>
        <v/>
      </c>
      <c r="B414" s="4"/>
      <c r="C414" s="13"/>
      <c r="D414" s="14"/>
      <c r="E414" s="14"/>
      <c r="F414" s="15"/>
      <c r="G414" s="16"/>
      <c r="H414" s="16"/>
      <c r="I414" s="17" t="str">
        <f aca="false">IF(OR(G414="",H414=""),"",H414-G414)</f>
        <v/>
      </c>
      <c r="J414" s="4"/>
      <c r="K414" s="4"/>
      <c r="L414" s="18" t="str">
        <f aca="false">IF(F414="","",IF(COUNTIF('DS XE - TAI XE'!$B$6:$B$505,F414)&gt;0,"✓ Có","Chưa có trong DS xe"))</f>
        <v/>
      </c>
    </row>
    <row r="415" customFormat="false" ht="15" hidden="false" customHeight="false" outlineLevel="0" collapsed="false">
      <c r="A415" s="12" t="str">
        <f aca="false">IF(F415="","",COUNTA($F$8:F415))</f>
        <v/>
      </c>
      <c r="B415" s="4"/>
      <c r="C415" s="13"/>
      <c r="D415" s="14"/>
      <c r="E415" s="14"/>
      <c r="F415" s="15"/>
      <c r="G415" s="16"/>
      <c r="H415" s="16"/>
      <c r="I415" s="17" t="str">
        <f aca="false">IF(OR(G415="",H415=""),"",H415-G415)</f>
        <v/>
      </c>
      <c r="J415" s="4"/>
      <c r="K415" s="4"/>
      <c r="L415" s="18" t="str">
        <f aca="false">IF(F415="","",IF(COUNTIF('DS XE - TAI XE'!$B$6:$B$505,F415)&gt;0,"✓ Có","Chưa có trong DS xe"))</f>
        <v/>
      </c>
    </row>
    <row r="416" customFormat="false" ht="15" hidden="false" customHeight="false" outlineLevel="0" collapsed="false">
      <c r="A416" s="12" t="str">
        <f aca="false">IF(F416="","",COUNTA($F$8:F416))</f>
        <v/>
      </c>
      <c r="B416" s="4"/>
      <c r="C416" s="13"/>
      <c r="D416" s="14"/>
      <c r="E416" s="14"/>
      <c r="F416" s="15"/>
      <c r="G416" s="16"/>
      <c r="H416" s="16"/>
      <c r="I416" s="17" t="str">
        <f aca="false">IF(OR(G416="",H416=""),"",H416-G416)</f>
        <v/>
      </c>
      <c r="J416" s="4"/>
      <c r="K416" s="4"/>
      <c r="L416" s="18" t="str">
        <f aca="false">IF(F416="","",IF(COUNTIF('DS XE - TAI XE'!$B$6:$B$505,F416)&gt;0,"✓ Có","Chưa có trong DS xe"))</f>
        <v/>
      </c>
    </row>
    <row r="417" customFormat="false" ht="15" hidden="false" customHeight="false" outlineLevel="0" collapsed="false">
      <c r="A417" s="12" t="str">
        <f aca="false">IF(F417="","",COUNTA($F$8:F417))</f>
        <v/>
      </c>
      <c r="B417" s="4"/>
      <c r="C417" s="13"/>
      <c r="D417" s="14"/>
      <c r="E417" s="14"/>
      <c r="F417" s="15"/>
      <c r="G417" s="16"/>
      <c r="H417" s="16"/>
      <c r="I417" s="17" t="str">
        <f aca="false">IF(OR(G417="",H417=""),"",H417-G417)</f>
        <v/>
      </c>
      <c r="J417" s="4"/>
      <c r="K417" s="4"/>
      <c r="L417" s="18" t="str">
        <f aca="false">IF(F417="","",IF(COUNTIF('DS XE - TAI XE'!$B$6:$B$505,F417)&gt;0,"✓ Có","Chưa có trong DS xe"))</f>
        <v/>
      </c>
    </row>
    <row r="418" customFormat="false" ht="15" hidden="false" customHeight="false" outlineLevel="0" collapsed="false">
      <c r="A418" s="12" t="str">
        <f aca="false">IF(F418="","",COUNTA($F$8:F418))</f>
        <v/>
      </c>
      <c r="B418" s="4"/>
      <c r="C418" s="13"/>
      <c r="D418" s="14"/>
      <c r="E418" s="14"/>
      <c r="F418" s="15"/>
      <c r="G418" s="16"/>
      <c r="H418" s="16"/>
      <c r="I418" s="17" t="str">
        <f aca="false">IF(OR(G418="",H418=""),"",H418-G418)</f>
        <v/>
      </c>
      <c r="J418" s="4"/>
      <c r="K418" s="4"/>
      <c r="L418" s="18" t="str">
        <f aca="false">IF(F418="","",IF(COUNTIF('DS XE - TAI XE'!$B$6:$B$505,F418)&gt;0,"✓ Có","Chưa có trong DS xe"))</f>
        <v/>
      </c>
    </row>
    <row r="419" customFormat="false" ht="15" hidden="false" customHeight="false" outlineLevel="0" collapsed="false">
      <c r="A419" s="12" t="str">
        <f aca="false">IF(F419="","",COUNTA($F$8:F419))</f>
        <v/>
      </c>
      <c r="B419" s="4"/>
      <c r="C419" s="13"/>
      <c r="D419" s="14"/>
      <c r="E419" s="14"/>
      <c r="F419" s="15"/>
      <c r="G419" s="16"/>
      <c r="H419" s="16"/>
      <c r="I419" s="17" t="str">
        <f aca="false">IF(OR(G419="",H419=""),"",H419-G419)</f>
        <v/>
      </c>
      <c r="J419" s="4"/>
      <c r="K419" s="4"/>
      <c r="L419" s="18" t="str">
        <f aca="false">IF(F419="","",IF(COUNTIF('DS XE - TAI XE'!$B$6:$B$505,F419)&gt;0,"✓ Có","Chưa có trong DS xe"))</f>
        <v/>
      </c>
    </row>
    <row r="420" customFormat="false" ht="15" hidden="false" customHeight="false" outlineLevel="0" collapsed="false">
      <c r="A420" s="12" t="str">
        <f aca="false">IF(F420="","",COUNTA($F$8:F420))</f>
        <v/>
      </c>
      <c r="B420" s="4"/>
      <c r="C420" s="13"/>
      <c r="D420" s="14"/>
      <c r="E420" s="14"/>
      <c r="F420" s="15"/>
      <c r="G420" s="16"/>
      <c r="H420" s="16"/>
      <c r="I420" s="17" t="str">
        <f aca="false">IF(OR(G420="",H420=""),"",H420-G420)</f>
        <v/>
      </c>
      <c r="J420" s="4"/>
      <c r="K420" s="4"/>
      <c r="L420" s="18" t="str">
        <f aca="false">IF(F420="","",IF(COUNTIF('DS XE - TAI XE'!$B$6:$B$505,F420)&gt;0,"✓ Có","Chưa có trong DS xe"))</f>
        <v/>
      </c>
    </row>
    <row r="421" customFormat="false" ht="15" hidden="false" customHeight="false" outlineLevel="0" collapsed="false">
      <c r="A421" s="12" t="str">
        <f aca="false">IF(F421="","",COUNTA($F$8:F421))</f>
        <v/>
      </c>
      <c r="B421" s="4"/>
      <c r="C421" s="13"/>
      <c r="D421" s="14"/>
      <c r="E421" s="14"/>
      <c r="F421" s="15"/>
      <c r="G421" s="16"/>
      <c r="H421" s="16"/>
      <c r="I421" s="17" t="str">
        <f aca="false">IF(OR(G421="",H421=""),"",H421-G421)</f>
        <v/>
      </c>
      <c r="J421" s="4"/>
      <c r="K421" s="4"/>
      <c r="L421" s="18" t="str">
        <f aca="false">IF(F421="","",IF(COUNTIF('DS XE - TAI XE'!$B$6:$B$505,F421)&gt;0,"✓ Có","Chưa có trong DS xe"))</f>
        <v/>
      </c>
    </row>
    <row r="422" customFormat="false" ht="15" hidden="false" customHeight="false" outlineLevel="0" collapsed="false">
      <c r="A422" s="12" t="str">
        <f aca="false">IF(F422="","",COUNTA($F$8:F422))</f>
        <v/>
      </c>
      <c r="B422" s="4"/>
      <c r="C422" s="13"/>
      <c r="D422" s="14"/>
      <c r="E422" s="14"/>
      <c r="F422" s="15"/>
      <c r="G422" s="16"/>
      <c r="H422" s="16"/>
      <c r="I422" s="17" t="str">
        <f aca="false">IF(OR(G422="",H422=""),"",H422-G422)</f>
        <v/>
      </c>
      <c r="J422" s="4"/>
      <c r="K422" s="4"/>
      <c r="L422" s="18" t="str">
        <f aca="false">IF(F422="","",IF(COUNTIF('DS XE - TAI XE'!$B$6:$B$505,F422)&gt;0,"✓ Có","Chưa có trong DS xe"))</f>
        <v/>
      </c>
    </row>
    <row r="423" customFormat="false" ht="15" hidden="false" customHeight="false" outlineLevel="0" collapsed="false">
      <c r="A423" s="12" t="str">
        <f aca="false">IF(F423="","",COUNTA($F$8:F423))</f>
        <v/>
      </c>
      <c r="B423" s="4"/>
      <c r="C423" s="13"/>
      <c r="D423" s="14"/>
      <c r="E423" s="14"/>
      <c r="F423" s="15"/>
      <c r="G423" s="16"/>
      <c r="H423" s="16"/>
      <c r="I423" s="17" t="str">
        <f aca="false">IF(OR(G423="",H423=""),"",H423-G423)</f>
        <v/>
      </c>
      <c r="J423" s="4"/>
      <c r="K423" s="4"/>
      <c r="L423" s="18" t="str">
        <f aca="false">IF(F423="","",IF(COUNTIF('DS XE - TAI XE'!$B$6:$B$505,F423)&gt;0,"✓ Có","Chưa có trong DS xe"))</f>
        <v/>
      </c>
    </row>
    <row r="424" customFormat="false" ht="15" hidden="false" customHeight="false" outlineLevel="0" collapsed="false">
      <c r="A424" s="12" t="str">
        <f aca="false">IF(F424="","",COUNTA($F$8:F424))</f>
        <v/>
      </c>
      <c r="B424" s="4"/>
      <c r="C424" s="13"/>
      <c r="D424" s="14"/>
      <c r="E424" s="14"/>
      <c r="F424" s="15"/>
      <c r="G424" s="16"/>
      <c r="H424" s="16"/>
      <c r="I424" s="17" t="str">
        <f aca="false">IF(OR(G424="",H424=""),"",H424-G424)</f>
        <v/>
      </c>
      <c r="J424" s="4"/>
      <c r="K424" s="4"/>
      <c r="L424" s="18" t="str">
        <f aca="false">IF(F424="","",IF(COUNTIF('DS XE - TAI XE'!$B$6:$B$505,F424)&gt;0,"✓ Có","Chưa có trong DS xe"))</f>
        <v/>
      </c>
    </row>
    <row r="425" customFormat="false" ht="15" hidden="false" customHeight="false" outlineLevel="0" collapsed="false">
      <c r="A425" s="12" t="str">
        <f aca="false">IF(F425="","",COUNTA($F$8:F425))</f>
        <v/>
      </c>
      <c r="B425" s="4"/>
      <c r="C425" s="13"/>
      <c r="D425" s="14"/>
      <c r="E425" s="14"/>
      <c r="F425" s="15"/>
      <c r="G425" s="16"/>
      <c r="H425" s="16"/>
      <c r="I425" s="17" t="str">
        <f aca="false">IF(OR(G425="",H425=""),"",H425-G425)</f>
        <v/>
      </c>
      <c r="J425" s="4"/>
      <c r="K425" s="4"/>
      <c r="L425" s="18" t="str">
        <f aca="false">IF(F425="","",IF(COUNTIF('DS XE - TAI XE'!$B$6:$B$505,F425)&gt;0,"✓ Có","Chưa có trong DS xe"))</f>
        <v/>
      </c>
    </row>
    <row r="426" customFormat="false" ht="15" hidden="false" customHeight="false" outlineLevel="0" collapsed="false">
      <c r="A426" s="12" t="str">
        <f aca="false">IF(F426="","",COUNTA($F$8:F426))</f>
        <v/>
      </c>
      <c r="B426" s="4"/>
      <c r="C426" s="13"/>
      <c r="D426" s="14"/>
      <c r="E426" s="14"/>
      <c r="F426" s="15"/>
      <c r="G426" s="16"/>
      <c r="H426" s="16"/>
      <c r="I426" s="17" t="str">
        <f aca="false">IF(OR(G426="",H426=""),"",H426-G426)</f>
        <v/>
      </c>
      <c r="J426" s="4"/>
      <c r="K426" s="4"/>
      <c r="L426" s="18" t="str">
        <f aca="false">IF(F426="","",IF(COUNTIF('DS XE - TAI XE'!$B$6:$B$505,F426)&gt;0,"✓ Có","Chưa có trong DS xe"))</f>
        <v/>
      </c>
    </row>
    <row r="427" customFormat="false" ht="15" hidden="false" customHeight="false" outlineLevel="0" collapsed="false">
      <c r="A427" s="12" t="str">
        <f aca="false">IF(F427="","",COUNTA($F$8:F427))</f>
        <v/>
      </c>
      <c r="B427" s="4"/>
      <c r="C427" s="13"/>
      <c r="D427" s="14"/>
      <c r="E427" s="14"/>
      <c r="F427" s="15"/>
      <c r="G427" s="16"/>
      <c r="H427" s="16"/>
      <c r="I427" s="17" t="str">
        <f aca="false">IF(OR(G427="",H427=""),"",H427-G427)</f>
        <v/>
      </c>
      <c r="J427" s="4"/>
      <c r="K427" s="4"/>
      <c r="L427" s="18" t="str">
        <f aca="false">IF(F427="","",IF(COUNTIF('DS XE - TAI XE'!$B$6:$B$505,F427)&gt;0,"✓ Có","Chưa có trong DS xe"))</f>
        <v/>
      </c>
    </row>
    <row r="428" customFormat="false" ht="15" hidden="false" customHeight="false" outlineLevel="0" collapsed="false">
      <c r="A428" s="12" t="str">
        <f aca="false">IF(F428="","",COUNTA($F$8:F428))</f>
        <v/>
      </c>
      <c r="B428" s="4"/>
      <c r="C428" s="13"/>
      <c r="D428" s="14"/>
      <c r="E428" s="14"/>
      <c r="F428" s="15"/>
      <c r="G428" s="16"/>
      <c r="H428" s="16"/>
      <c r="I428" s="17" t="str">
        <f aca="false">IF(OR(G428="",H428=""),"",H428-G428)</f>
        <v/>
      </c>
      <c r="J428" s="4"/>
      <c r="K428" s="4"/>
      <c r="L428" s="18" t="str">
        <f aca="false">IF(F428="","",IF(COUNTIF('DS XE - TAI XE'!$B$6:$B$505,F428)&gt;0,"✓ Có","Chưa có trong DS xe"))</f>
        <v/>
      </c>
    </row>
    <row r="429" customFormat="false" ht="15" hidden="false" customHeight="false" outlineLevel="0" collapsed="false">
      <c r="A429" s="12" t="str">
        <f aca="false">IF(F429="","",COUNTA($F$8:F429))</f>
        <v/>
      </c>
      <c r="B429" s="4"/>
      <c r="C429" s="13"/>
      <c r="D429" s="14"/>
      <c r="E429" s="14"/>
      <c r="F429" s="15"/>
      <c r="G429" s="16"/>
      <c r="H429" s="16"/>
      <c r="I429" s="17" t="str">
        <f aca="false">IF(OR(G429="",H429=""),"",H429-G429)</f>
        <v/>
      </c>
      <c r="J429" s="4"/>
      <c r="K429" s="4"/>
      <c r="L429" s="18" t="str">
        <f aca="false">IF(F429="","",IF(COUNTIF('DS XE - TAI XE'!$B$6:$B$505,F429)&gt;0,"✓ Có","Chưa có trong DS xe"))</f>
        <v/>
      </c>
    </row>
    <row r="430" customFormat="false" ht="15" hidden="false" customHeight="false" outlineLevel="0" collapsed="false">
      <c r="A430" s="12" t="str">
        <f aca="false">IF(F430="","",COUNTA($F$8:F430))</f>
        <v/>
      </c>
      <c r="B430" s="4"/>
      <c r="C430" s="13"/>
      <c r="D430" s="14"/>
      <c r="E430" s="14"/>
      <c r="F430" s="15"/>
      <c r="G430" s="16"/>
      <c r="H430" s="16"/>
      <c r="I430" s="17" t="str">
        <f aca="false">IF(OR(G430="",H430=""),"",H430-G430)</f>
        <v/>
      </c>
      <c r="J430" s="4"/>
      <c r="K430" s="4"/>
      <c r="L430" s="18" t="str">
        <f aca="false">IF(F430="","",IF(COUNTIF('DS XE - TAI XE'!$B$6:$B$505,F430)&gt;0,"✓ Có","Chưa có trong DS xe"))</f>
        <v/>
      </c>
    </row>
    <row r="431" customFormat="false" ht="15" hidden="false" customHeight="false" outlineLevel="0" collapsed="false">
      <c r="A431" s="12" t="str">
        <f aca="false">IF(F431="","",COUNTA($F$8:F431))</f>
        <v/>
      </c>
      <c r="B431" s="4"/>
      <c r="C431" s="13"/>
      <c r="D431" s="14"/>
      <c r="E431" s="14"/>
      <c r="F431" s="15"/>
      <c r="G431" s="16"/>
      <c r="H431" s="16"/>
      <c r="I431" s="17" t="str">
        <f aca="false">IF(OR(G431="",H431=""),"",H431-G431)</f>
        <v/>
      </c>
      <c r="J431" s="4"/>
      <c r="K431" s="4"/>
      <c r="L431" s="18" t="str">
        <f aca="false">IF(F431="","",IF(COUNTIF('DS XE - TAI XE'!$B$6:$B$505,F431)&gt;0,"✓ Có","Chưa có trong DS xe"))</f>
        <v/>
      </c>
    </row>
    <row r="432" customFormat="false" ht="15" hidden="false" customHeight="false" outlineLevel="0" collapsed="false">
      <c r="A432" s="12" t="str">
        <f aca="false">IF(F432="","",COUNTA($F$8:F432))</f>
        <v/>
      </c>
      <c r="B432" s="4"/>
      <c r="C432" s="13"/>
      <c r="D432" s="14"/>
      <c r="E432" s="14"/>
      <c r="F432" s="15"/>
      <c r="G432" s="16"/>
      <c r="H432" s="16"/>
      <c r="I432" s="17" t="str">
        <f aca="false">IF(OR(G432="",H432=""),"",H432-G432)</f>
        <v/>
      </c>
      <c r="J432" s="4"/>
      <c r="K432" s="4"/>
      <c r="L432" s="18" t="str">
        <f aca="false">IF(F432="","",IF(COUNTIF('DS XE - TAI XE'!$B$6:$B$505,F432)&gt;0,"✓ Có","Chưa có trong DS xe"))</f>
        <v/>
      </c>
    </row>
    <row r="433" customFormat="false" ht="15" hidden="false" customHeight="false" outlineLevel="0" collapsed="false">
      <c r="A433" s="12" t="str">
        <f aca="false">IF(F433="","",COUNTA($F$8:F433))</f>
        <v/>
      </c>
      <c r="B433" s="4"/>
      <c r="C433" s="13"/>
      <c r="D433" s="14"/>
      <c r="E433" s="14"/>
      <c r="F433" s="15"/>
      <c r="G433" s="16"/>
      <c r="H433" s="16"/>
      <c r="I433" s="17" t="str">
        <f aca="false">IF(OR(G433="",H433=""),"",H433-G433)</f>
        <v/>
      </c>
      <c r="J433" s="4"/>
      <c r="K433" s="4"/>
      <c r="L433" s="18" t="str">
        <f aca="false">IF(F433="","",IF(COUNTIF('DS XE - TAI XE'!$B$6:$B$505,F433)&gt;0,"✓ Có","Chưa có trong DS xe"))</f>
        <v/>
      </c>
    </row>
    <row r="434" customFormat="false" ht="15" hidden="false" customHeight="false" outlineLevel="0" collapsed="false">
      <c r="A434" s="12" t="str">
        <f aca="false">IF(F434="","",COUNTA($F$8:F434))</f>
        <v/>
      </c>
      <c r="B434" s="4"/>
      <c r="C434" s="13"/>
      <c r="D434" s="14"/>
      <c r="E434" s="14"/>
      <c r="F434" s="15"/>
      <c r="G434" s="16"/>
      <c r="H434" s="16"/>
      <c r="I434" s="17" t="str">
        <f aca="false">IF(OR(G434="",H434=""),"",H434-G434)</f>
        <v/>
      </c>
      <c r="J434" s="4"/>
      <c r="K434" s="4"/>
      <c r="L434" s="18" t="str">
        <f aca="false">IF(F434="","",IF(COUNTIF('DS XE - TAI XE'!$B$6:$B$505,F434)&gt;0,"✓ Có","Chưa có trong DS xe"))</f>
        <v/>
      </c>
    </row>
    <row r="435" customFormat="false" ht="15" hidden="false" customHeight="false" outlineLevel="0" collapsed="false">
      <c r="A435" s="12" t="str">
        <f aca="false">IF(F435="","",COUNTA($F$8:F435))</f>
        <v/>
      </c>
      <c r="B435" s="4"/>
      <c r="C435" s="13"/>
      <c r="D435" s="14"/>
      <c r="E435" s="14"/>
      <c r="F435" s="15"/>
      <c r="G435" s="16"/>
      <c r="H435" s="16"/>
      <c r="I435" s="17" t="str">
        <f aca="false">IF(OR(G435="",H435=""),"",H435-G435)</f>
        <v/>
      </c>
      <c r="J435" s="4"/>
      <c r="K435" s="4"/>
      <c r="L435" s="18" t="str">
        <f aca="false">IF(F435="","",IF(COUNTIF('DS XE - TAI XE'!$B$6:$B$505,F435)&gt;0,"✓ Có","Chưa có trong DS xe"))</f>
        <v/>
      </c>
    </row>
    <row r="436" customFormat="false" ht="15" hidden="false" customHeight="false" outlineLevel="0" collapsed="false">
      <c r="A436" s="12" t="str">
        <f aca="false">IF(F436="","",COUNTA($F$8:F436))</f>
        <v/>
      </c>
      <c r="B436" s="4"/>
      <c r="C436" s="13"/>
      <c r="D436" s="14"/>
      <c r="E436" s="14"/>
      <c r="F436" s="15"/>
      <c r="G436" s="16"/>
      <c r="H436" s="16"/>
      <c r="I436" s="17" t="str">
        <f aca="false">IF(OR(G436="",H436=""),"",H436-G436)</f>
        <v/>
      </c>
      <c r="J436" s="4"/>
      <c r="K436" s="4"/>
      <c r="L436" s="18" t="str">
        <f aca="false">IF(F436="","",IF(COUNTIF('DS XE - TAI XE'!$B$6:$B$505,F436)&gt;0,"✓ Có","Chưa có trong DS xe"))</f>
        <v/>
      </c>
    </row>
    <row r="437" customFormat="false" ht="15" hidden="false" customHeight="false" outlineLevel="0" collapsed="false">
      <c r="A437" s="12" t="str">
        <f aca="false">IF(F437="","",COUNTA($F$8:F437))</f>
        <v/>
      </c>
      <c r="B437" s="4"/>
      <c r="C437" s="13"/>
      <c r="D437" s="14"/>
      <c r="E437" s="14"/>
      <c r="F437" s="15"/>
      <c r="G437" s="16"/>
      <c r="H437" s="16"/>
      <c r="I437" s="17" t="str">
        <f aca="false">IF(OR(G437="",H437=""),"",H437-G437)</f>
        <v/>
      </c>
      <c r="J437" s="4"/>
      <c r="K437" s="4"/>
      <c r="L437" s="18" t="str">
        <f aca="false">IF(F437="","",IF(COUNTIF('DS XE - TAI XE'!$B$6:$B$505,F437)&gt;0,"✓ Có","Chưa có trong DS xe"))</f>
        <v/>
      </c>
    </row>
    <row r="438" customFormat="false" ht="15" hidden="false" customHeight="false" outlineLevel="0" collapsed="false">
      <c r="A438" s="12" t="str">
        <f aca="false">IF(F438="","",COUNTA($F$8:F438))</f>
        <v/>
      </c>
      <c r="B438" s="4"/>
      <c r="C438" s="13"/>
      <c r="D438" s="14"/>
      <c r="E438" s="14"/>
      <c r="F438" s="15"/>
      <c r="G438" s="16"/>
      <c r="H438" s="16"/>
      <c r="I438" s="17" t="str">
        <f aca="false">IF(OR(G438="",H438=""),"",H438-G438)</f>
        <v/>
      </c>
      <c r="J438" s="4"/>
      <c r="K438" s="4"/>
      <c r="L438" s="18" t="str">
        <f aca="false">IF(F438="","",IF(COUNTIF('DS XE - TAI XE'!$B$6:$B$505,F438)&gt;0,"✓ Có","Chưa có trong DS xe"))</f>
        <v/>
      </c>
    </row>
    <row r="439" customFormat="false" ht="15" hidden="false" customHeight="false" outlineLevel="0" collapsed="false">
      <c r="A439" s="12" t="str">
        <f aca="false">IF(F439="","",COUNTA($F$8:F439))</f>
        <v/>
      </c>
      <c r="B439" s="4"/>
      <c r="C439" s="13"/>
      <c r="D439" s="14"/>
      <c r="E439" s="14"/>
      <c r="F439" s="15"/>
      <c r="G439" s="16"/>
      <c r="H439" s="16"/>
      <c r="I439" s="17" t="str">
        <f aca="false">IF(OR(G439="",H439=""),"",H439-G439)</f>
        <v/>
      </c>
      <c r="J439" s="4"/>
      <c r="K439" s="4"/>
      <c r="L439" s="18" t="str">
        <f aca="false">IF(F439="","",IF(COUNTIF('DS XE - TAI XE'!$B$6:$B$505,F439)&gt;0,"✓ Có","Chưa có trong DS xe"))</f>
        <v/>
      </c>
    </row>
    <row r="440" customFormat="false" ht="15" hidden="false" customHeight="false" outlineLevel="0" collapsed="false">
      <c r="A440" s="12" t="str">
        <f aca="false">IF(F440="","",COUNTA($F$8:F440))</f>
        <v/>
      </c>
      <c r="B440" s="4"/>
      <c r="C440" s="13"/>
      <c r="D440" s="14"/>
      <c r="E440" s="14"/>
      <c r="F440" s="15"/>
      <c r="G440" s="16"/>
      <c r="H440" s="16"/>
      <c r="I440" s="17" t="str">
        <f aca="false">IF(OR(G440="",H440=""),"",H440-G440)</f>
        <v/>
      </c>
      <c r="J440" s="4"/>
      <c r="K440" s="4"/>
      <c r="L440" s="18" t="str">
        <f aca="false">IF(F440="","",IF(COUNTIF('DS XE - TAI XE'!$B$6:$B$505,F440)&gt;0,"✓ Có","Chưa có trong DS xe"))</f>
        <v/>
      </c>
    </row>
    <row r="441" customFormat="false" ht="15" hidden="false" customHeight="false" outlineLevel="0" collapsed="false">
      <c r="A441" s="12" t="str">
        <f aca="false">IF(F441="","",COUNTA($F$8:F441))</f>
        <v/>
      </c>
      <c r="B441" s="4"/>
      <c r="C441" s="13"/>
      <c r="D441" s="14"/>
      <c r="E441" s="14"/>
      <c r="F441" s="15"/>
      <c r="G441" s="16"/>
      <c r="H441" s="16"/>
      <c r="I441" s="17" t="str">
        <f aca="false">IF(OR(G441="",H441=""),"",H441-G441)</f>
        <v/>
      </c>
      <c r="J441" s="4"/>
      <c r="K441" s="4"/>
      <c r="L441" s="18" t="str">
        <f aca="false">IF(F441="","",IF(COUNTIF('DS XE - TAI XE'!$B$6:$B$505,F441)&gt;0,"✓ Có","Chưa có trong DS xe"))</f>
        <v/>
      </c>
    </row>
    <row r="442" customFormat="false" ht="15" hidden="false" customHeight="false" outlineLevel="0" collapsed="false">
      <c r="A442" s="12" t="str">
        <f aca="false">IF(F442="","",COUNTA($F$8:F442))</f>
        <v/>
      </c>
      <c r="B442" s="4"/>
      <c r="C442" s="13"/>
      <c r="D442" s="14"/>
      <c r="E442" s="14"/>
      <c r="F442" s="15"/>
      <c r="G442" s="16"/>
      <c r="H442" s="16"/>
      <c r="I442" s="17" t="str">
        <f aca="false">IF(OR(G442="",H442=""),"",H442-G442)</f>
        <v/>
      </c>
      <c r="J442" s="4"/>
      <c r="K442" s="4"/>
      <c r="L442" s="18" t="str">
        <f aca="false">IF(F442="","",IF(COUNTIF('DS XE - TAI XE'!$B$6:$B$505,F442)&gt;0,"✓ Có","Chưa có trong DS xe"))</f>
        <v/>
      </c>
    </row>
    <row r="443" customFormat="false" ht="15" hidden="false" customHeight="false" outlineLevel="0" collapsed="false">
      <c r="A443" s="12" t="str">
        <f aca="false">IF(F443="","",COUNTA($F$8:F443))</f>
        <v/>
      </c>
      <c r="B443" s="4"/>
      <c r="C443" s="13"/>
      <c r="D443" s="14"/>
      <c r="E443" s="14"/>
      <c r="F443" s="15"/>
      <c r="G443" s="16"/>
      <c r="H443" s="16"/>
      <c r="I443" s="17" t="str">
        <f aca="false">IF(OR(G443="",H443=""),"",H443-G443)</f>
        <v/>
      </c>
      <c r="J443" s="4"/>
      <c r="K443" s="4"/>
      <c r="L443" s="18" t="str">
        <f aca="false">IF(F443="","",IF(COUNTIF('DS XE - TAI XE'!$B$6:$B$505,F443)&gt;0,"✓ Có","Chưa có trong DS xe"))</f>
        <v/>
      </c>
    </row>
    <row r="444" customFormat="false" ht="15" hidden="false" customHeight="false" outlineLevel="0" collapsed="false">
      <c r="A444" s="12" t="str">
        <f aca="false">IF(F444="","",COUNTA($F$8:F444))</f>
        <v/>
      </c>
      <c r="B444" s="4"/>
      <c r="C444" s="13"/>
      <c r="D444" s="14"/>
      <c r="E444" s="14"/>
      <c r="F444" s="15"/>
      <c r="G444" s="16"/>
      <c r="H444" s="16"/>
      <c r="I444" s="17" t="str">
        <f aca="false">IF(OR(G444="",H444=""),"",H444-G444)</f>
        <v/>
      </c>
      <c r="J444" s="4"/>
      <c r="K444" s="4"/>
      <c r="L444" s="18" t="str">
        <f aca="false">IF(F444="","",IF(COUNTIF('DS XE - TAI XE'!$B$6:$B$505,F444)&gt;0,"✓ Có","Chưa có trong DS xe"))</f>
        <v/>
      </c>
    </row>
    <row r="445" customFormat="false" ht="15" hidden="false" customHeight="false" outlineLevel="0" collapsed="false">
      <c r="A445" s="12" t="str">
        <f aca="false">IF(F445="","",COUNTA($F$8:F445))</f>
        <v/>
      </c>
      <c r="B445" s="4"/>
      <c r="C445" s="13"/>
      <c r="D445" s="14"/>
      <c r="E445" s="14"/>
      <c r="F445" s="15"/>
      <c r="G445" s="16"/>
      <c r="H445" s="16"/>
      <c r="I445" s="17" t="str">
        <f aca="false">IF(OR(G445="",H445=""),"",H445-G445)</f>
        <v/>
      </c>
      <c r="J445" s="4"/>
      <c r="K445" s="4"/>
      <c r="L445" s="18" t="str">
        <f aca="false">IF(F445="","",IF(COUNTIF('DS XE - TAI XE'!$B$6:$B$505,F445)&gt;0,"✓ Có","Chưa có trong DS xe"))</f>
        <v/>
      </c>
    </row>
    <row r="446" customFormat="false" ht="15" hidden="false" customHeight="false" outlineLevel="0" collapsed="false">
      <c r="A446" s="12" t="str">
        <f aca="false">IF(F446="","",COUNTA($F$8:F446))</f>
        <v/>
      </c>
      <c r="B446" s="4"/>
      <c r="C446" s="13"/>
      <c r="D446" s="14"/>
      <c r="E446" s="14"/>
      <c r="F446" s="15"/>
      <c r="G446" s="16"/>
      <c r="H446" s="16"/>
      <c r="I446" s="17" t="str">
        <f aca="false">IF(OR(G446="",H446=""),"",H446-G446)</f>
        <v/>
      </c>
      <c r="J446" s="4"/>
      <c r="K446" s="4"/>
      <c r="L446" s="18" t="str">
        <f aca="false">IF(F446="","",IF(COUNTIF('DS XE - TAI XE'!$B$6:$B$505,F446)&gt;0,"✓ Có","Chưa có trong DS xe"))</f>
        <v/>
      </c>
    </row>
    <row r="447" customFormat="false" ht="15" hidden="false" customHeight="false" outlineLevel="0" collapsed="false">
      <c r="A447" s="12" t="str">
        <f aca="false">IF(F447="","",COUNTA($F$8:F447))</f>
        <v/>
      </c>
      <c r="B447" s="4"/>
      <c r="C447" s="13"/>
      <c r="D447" s="14"/>
      <c r="E447" s="14"/>
      <c r="F447" s="15"/>
      <c r="G447" s="16"/>
      <c r="H447" s="16"/>
      <c r="I447" s="17" t="str">
        <f aca="false">IF(OR(G447="",H447=""),"",H447-G447)</f>
        <v/>
      </c>
      <c r="J447" s="4"/>
      <c r="K447" s="4"/>
      <c r="L447" s="18" t="str">
        <f aca="false">IF(F447="","",IF(COUNTIF('DS XE - TAI XE'!$B$6:$B$505,F447)&gt;0,"✓ Có","Chưa có trong DS xe"))</f>
        <v/>
      </c>
    </row>
    <row r="448" customFormat="false" ht="15" hidden="false" customHeight="false" outlineLevel="0" collapsed="false">
      <c r="A448" s="12" t="str">
        <f aca="false">IF(F448="","",COUNTA($F$8:F448))</f>
        <v/>
      </c>
      <c r="B448" s="4"/>
      <c r="C448" s="13"/>
      <c r="D448" s="14"/>
      <c r="E448" s="14"/>
      <c r="F448" s="15"/>
      <c r="G448" s="16"/>
      <c r="H448" s="16"/>
      <c r="I448" s="17" t="str">
        <f aca="false">IF(OR(G448="",H448=""),"",H448-G448)</f>
        <v/>
      </c>
      <c r="J448" s="4"/>
      <c r="K448" s="4"/>
      <c r="L448" s="18" t="str">
        <f aca="false">IF(F448="","",IF(COUNTIF('DS XE - TAI XE'!$B$6:$B$505,F448)&gt;0,"✓ Có","Chưa có trong DS xe"))</f>
        <v/>
      </c>
    </row>
    <row r="449" customFormat="false" ht="15" hidden="false" customHeight="false" outlineLevel="0" collapsed="false">
      <c r="A449" s="12" t="str">
        <f aca="false">IF(F449="","",COUNTA($F$8:F449))</f>
        <v/>
      </c>
      <c r="B449" s="4"/>
      <c r="C449" s="13"/>
      <c r="D449" s="14"/>
      <c r="E449" s="14"/>
      <c r="F449" s="15"/>
      <c r="G449" s="16"/>
      <c r="H449" s="16"/>
      <c r="I449" s="17" t="str">
        <f aca="false">IF(OR(G449="",H449=""),"",H449-G449)</f>
        <v/>
      </c>
      <c r="J449" s="4"/>
      <c r="K449" s="4"/>
      <c r="L449" s="18" t="str">
        <f aca="false">IF(F449="","",IF(COUNTIF('DS XE - TAI XE'!$B$6:$B$505,F449)&gt;0,"✓ Có","Chưa có trong DS xe"))</f>
        <v/>
      </c>
    </row>
    <row r="450" customFormat="false" ht="15" hidden="false" customHeight="false" outlineLevel="0" collapsed="false">
      <c r="A450" s="12" t="str">
        <f aca="false">IF(F450="","",COUNTA($F$8:F450))</f>
        <v/>
      </c>
      <c r="B450" s="4"/>
      <c r="C450" s="13"/>
      <c r="D450" s="14"/>
      <c r="E450" s="14"/>
      <c r="F450" s="15"/>
      <c r="G450" s="16"/>
      <c r="H450" s="16"/>
      <c r="I450" s="17" t="str">
        <f aca="false">IF(OR(G450="",H450=""),"",H450-G450)</f>
        <v/>
      </c>
      <c r="J450" s="4"/>
      <c r="K450" s="4"/>
      <c r="L450" s="18" t="str">
        <f aca="false">IF(F450="","",IF(COUNTIF('DS XE - TAI XE'!$B$6:$B$505,F450)&gt;0,"✓ Có","Chưa có trong DS xe"))</f>
        <v/>
      </c>
    </row>
    <row r="451" customFormat="false" ht="15" hidden="false" customHeight="false" outlineLevel="0" collapsed="false">
      <c r="A451" s="12" t="str">
        <f aca="false">IF(F451="","",COUNTA($F$8:F451))</f>
        <v/>
      </c>
      <c r="B451" s="4"/>
      <c r="C451" s="13"/>
      <c r="D451" s="14"/>
      <c r="E451" s="14"/>
      <c r="F451" s="15"/>
      <c r="G451" s="16"/>
      <c r="H451" s="16"/>
      <c r="I451" s="17" t="str">
        <f aca="false">IF(OR(G451="",H451=""),"",H451-G451)</f>
        <v/>
      </c>
      <c r="J451" s="4"/>
      <c r="K451" s="4"/>
      <c r="L451" s="18" t="str">
        <f aca="false">IF(F451="","",IF(COUNTIF('DS XE - TAI XE'!$B$6:$B$505,F451)&gt;0,"✓ Có","Chưa có trong DS xe"))</f>
        <v/>
      </c>
    </row>
    <row r="452" customFormat="false" ht="15" hidden="false" customHeight="false" outlineLevel="0" collapsed="false">
      <c r="A452" s="12" t="str">
        <f aca="false">IF(F452="","",COUNTA($F$8:F452))</f>
        <v/>
      </c>
      <c r="B452" s="4"/>
      <c r="C452" s="13"/>
      <c r="D452" s="14"/>
      <c r="E452" s="14"/>
      <c r="F452" s="15"/>
      <c r="G452" s="16"/>
      <c r="H452" s="16"/>
      <c r="I452" s="17" t="str">
        <f aca="false">IF(OR(G452="",H452=""),"",H452-G452)</f>
        <v/>
      </c>
      <c r="J452" s="4"/>
      <c r="K452" s="4"/>
      <c r="L452" s="18" t="str">
        <f aca="false">IF(F452="","",IF(COUNTIF('DS XE - TAI XE'!$B$6:$B$505,F452)&gt;0,"✓ Có","Chưa có trong DS xe"))</f>
        <v/>
      </c>
    </row>
    <row r="453" customFormat="false" ht="15" hidden="false" customHeight="false" outlineLevel="0" collapsed="false">
      <c r="A453" s="12" t="str">
        <f aca="false">IF(F453="","",COUNTA($F$8:F453))</f>
        <v/>
      </c>
      <c r="B453" s="4"/>
      <c r="C453" s="13"/>
      <c r="D453" s="14"/>
      <c r="E453" s="14"/>
      <c r="F453" s="15"/>
      <c r="G453" s="16"/>
      <c r="H453" s="16"/>
      <c r="I453" s="17" t="str">
        <f aca="false">IF(OR(G453="",H453=""),"",H453-G453)</f>
        <v/>
      </c>
      <c r="J453" s="4"/>
      <c r="K453" s="4"/>
      <c r="L453" s="18" t="str">
        <f aca="false">IF(F453="","",IF(COUNTIF('DS XE - TAI XE'!$B$6:$B$505,F453)&gt;0,"✓ Có","Chưa có trong DS xe"))</f>
        <v/>
      </c>
    </row>
    <row r="454" customFormat="false" ht="15" hidden="false" customHeight="false" outlineLevel="0" collapsed="false">
      <c r="A454" s="12" t="str">
        <f aca="false">IF(F454="","",COUNTA($F$8:F454))</f>
        <v/>
      </c>
      <c r="B454" s="4"/>
      <c r="C454" s="13"/>
      <c r="D454" s="14"/>
      <c r="E454" s="14"/>
      <c r="F454" s="15"/>
      <c r="G454" s="16"/>
      <c r="H454" s="16"/>
      <c r="I454" s="17" t="str">
        <f aca="false">IF(OR(G454="",H454=""),"",H454-G454)</f>
        <v/>
      </c>
      <c r="J454" s="4"/>
      <c r="K454" s="4"/>
      <c r="L454" s="18" t="str">
        <f aca="false">IF(F454="","",IF(COUNTIF('DS XE - TAI XE'!$B$6:$B$505,F454)&gt;0,"✓ Có","Chưa có trong DS xe"))</f>
        <v/>
      </c>
    </row>
    <row r="455" customFormat="false" ht="15" hidden="false" customHeight="false" outlineLevel="0" collapsed="false">
      <c r="A455" s="12" t="str">
        <f aca="false">IF(F455="","",COUNTA($F$8:F455))</f>
        <v/>
      </c>
      <c r="B455" s="4"/>
      <c r="C455" s="13"/>
      <c r="D455" s="14"/>
      <c r="E455" s="14"/>
      <c r="F455" s="15"/>
      <c r="G455" s="16"/>
      <c r="H455" s="16"/>
      <c r="I455" s="17" t="str">
        <f aca="false">IF(OR(G455="",H455=""),"",H455-G455)</f>
        <v/>
      </c>
      <c r="J455" s="4"/>
      <c r="K455" s="4"/>
      <c r="L455" s="18" t="str">
        <f aca="false">IF(F455="","",IF(COUNTIF('DS XE - TAI XE'!$B$6:$B$505,F455)&gt;0,"✓ Có","Chưa có trong DS xe"))</f>
        <v/>
      </c>
    </row>
    <row r="456" customFormat="false" ht="15" hidden="false" customHeight="false" outlineLevel="0" collapsed="false">
      <c r="A456" s="12" t="str">
        <f aca="false">IF(F456="","",COUNTA($F$8:F456))</f>
        <v/>
      </c>
      <c r="B456" s="4"/>
      <c r="C456" s="13"/>
      <c r="D456" s="14"/>
      <c r="E456" s="14"/>
      <c r="F456" s="15"/>
      <c r="G456" s="16"/>
      <c r="H456" s="16"/>
      <c r="I456" s="17" t="str">
        <f aca="false">IF(OR(G456="",H456=""),"",H456-G456)</f>
        <v/>
      </c>
      <c r="J456" s="4"/>
      <c r="K456" s="4"/>
      <c r="L456" s="18" t="str">
        <f aca="false">IF(F456="","",IF(COUNTIF('DS XE - TAI XE'!$B$6:$B$505,F456)&gt;0,"✓ Có","Chưa có trong DS xe"))</f>
        <v/>
      </c>
    </row>
    <row r="457" customFormat="false" ht="15" hidden="false" customHeight="false" outlineLevel="0" collapsed="false">
      <c r="A457" s="12" t="str">
        <f aca="false">IF(F457="","",COUNTA($F$8:F457))</f>
        <v/>
      </c>
      <c r="B457" s="4"/>
      <c r="C457" s="13"/>
      <c r="D457" s="14"/>
      <c r="E457" s="14"/>
      <c r="F457" s="15"/>
      <c r="G457" s="16"/>
      <c r="H457" s="16"/>
      <c r="I457" s="17" t="str">
        <f aca="false">IF(OR(G457="",H457=""),"",H457-G457)</f>
        <v/>
      </c>
      <c r="J457" s="4"/>
      <c r="K457" s="4"/>
      <c r="L457" s="18" t="str">
        <f aca="false">IF(F457="","",IF(COUNTIF('DS XE - TAI XE'!$B$6:$B$505,F457)&gt;0,"✓ Có","Chưa có trong DS xe"))</f>
        <v/>
      </c>
    </row>
    <row r="458" customFormat="false" ht="15" hidden="false" customHeight="false" outlineLevel="0" collapsed="false">
      <c r="A458" s="12" t="str">
        <f aca="false">IF(F458="","",COUNTA($F$8:F458))</f>
        <v/>
      </c>
      <c r="B458" s="4"/>
      <c r="C458" s="13"/>
      <c r="D458" s="14"/>
      <c r="E458" s="14"/>
      <c r="F458" s="15"/>
      <c r="G458" s="16"/>
      <c r="H458" s="16"/>
      <c r="I458" s="17" t="str">
        <f aca="false">IF(OR(G458="",H458=""),"",H458-G458)</f>
        <v/>
      </c>
      <c r="J458" s="4"/>
      <c r="K458" s="4"/>
      <c r="L458" s="18" t="str">
        <f aca="false">IF(F458="","",IF(COUNTIF('DS XE - TAI XE'!$B$6:$B$505,F458)&gt;0,"✓ Có","Chưa có trong DS xe"))</f>
        <v/>
      </c>
    </row>
    <row r="459" customFormat="false" ht="15" hidden="false" customHeight="false" outlineLevel="0" collapsed="false">
      <c r="A459" s="12" t="str">
        <f aca="false">IF(F459="","",COUNTA($F$8:F459))</f>
        <v/>
      </c>
      <c r="B459" s="4"/>
      <c r="C459" s="13"/>
      <c r="D459" s="14"/>
      <c r="E459" s="14"/>
      <c r="F459" s="15"/>
      <c r="G459" s="16"/>
      <c r="H459" s="16"/>
      <c r="I459" s="17" t="str">
        <f aca="false">IF(OR(G459="",H459=""),"",H459-G459)</f>
        <v/>
      </c>
      <c r="J459" s="4"/>
      <c r="K459" s="4"/>
      <c r="L459" s="18" t="str">
        <f aca="false">IF(F459="","",IF(COUNTIF('DS XE - TAI XE'!$B$6:$B$505,F459)&gt;0,"✓ Có","Chưa có trong DS xe"))</f>
        <v/>
      </c>
    </row>
    <row r="460" customFormat="false" ht="15" hidden="false" customHeight="false" outlineLevel="0" collapsed="false">
      <c r="A460" s="12" t="str">
        <f aca="false">IF(F460="","",COUNTA($F$8:F460))</f>
        <v/>
      </c>
      <c r="B460" s="4"/>
      <c r="C460" s="13"/>
      <c r="D460" s="14"/>
      <c r="E460" s="14"/>
      <c r="F460" s="15"/>
      <c r="G460" s="16"/>
      <c r="H460" s="16"/>
      <c r="I460" s="17" t="str">
        <f aca="false">IF(OR(G460="",H460=""),"",H460-G460)</f>
        <v/>
      </c>
      <c r="J460" s="4"/>
      <c r="K460" s="4"/>
      <c r="L460" s="18" t="str">
        <f aca="false">IF(F460="","",IF(COUNTIF('DS XE - TAI XE'!$B$6:$B$505,F460)&gt;0,"✓ Có","Chưa có trong DS xe"))</f>
        <v/>
      </c>
    </row>
    <row r="461" customFormat="false" ht="15" hidden="false" customHeight="false" outlineLevel="0" collapsed="false">
      <c r="A461" s="12" t="str">
        <f aca="false">IF(F461="","",COUNTA($F$8:F461))</f>
        <v/>
      </c>
      <c r="B461" s="4"/>
      <c r="C461" s="13"/>
      <c r="D461" s="14"/>
      <c r="E461" s="14"/>
      <c r="F461" s="15"/>
      <c r="G461" s="16"/>
      <c r="H461" s="16"/>
      <c r="I461" s="17" t="str">
        <f aca="false">IF(OR(G461="",H461=""),"",H461-G461)</f>
        <v/>
      </c>
      <c r="J461" s="4"/>
      <c r="K461" s="4"/>
      <c r="L461" s="18" t="str">
        <f aca="false">IF(F461="","",IF(COUNTIF('DS XE - TAI XE'!$B$6:$B$505,F461)&gt;0,"✓ Có","Chưa có trong DS xe"))</f>
        <v/>
      </c>
    </row>
    <row r="462" customFormat="false" ht="15" hidden="false" customHeight="false" outlineLevel="0" collapsed="false">
      <c r="A462" s="12" t="str">
        <f aca="false">IF(F462="","",COUNTA($F$8:F462))</f>
        <v/>
      </c>
      <c r="B462" s="4"/>
      <c r="C462" s="13"/>
      <c r="D462" s="14"/>
      <c r="E462" s="14"/>
      <c r="F462" s="15"/>
      <c r="G462" s="16"/>
      <c r="H462" s="16"/>
      <c r="I462" s="17" t="str">
        <f aca="false">IF(OR(G462="",H462=""),"",H462-G462)</f>
        <v/>
      </c>
      <c r="J462" s="4"/>
      <c r="K462" s="4"/>
      <c r="L462" s="18" t="str">
        <f aca="false">IF(F462="","",IF(COUNTIF('DS XE - TAI XE'!$B$6:$B$505,F462)&gt;0,"✓ Có","Chưa có trong DS xe"))</f>
        <v/>
      </c>
    </row>
    <row r="463" customFormat="false" ht="15" hidden="false" customHeight="false" outlineLevel="0" collapsed="false">
      <c r="A463" s="12" t="str">
        <f aca="false">IF(F463="","",COUNTA($F$8:F463))</f>
        <v/>
      </c>
      <c r="B463" s="4"/>
      <c r="C463" s="13"/>
      <c r="D463" s="14"/>
      <c r="E463" s="14"/>
      <c r="F463" s="15"/>
      <c r="G463" s="16"/>
      <c r="H463" s="16"/>
      <c r="I463" s="17" t="str">
        <f aca="false">IF(OR(G463="",H463=""),"",H463-G463)</f>
        <v/>
      </c>
      <c r="J463" s="4"/>
      <c r="K463" s="4"/>
      <c r="L463" s="18" t="str">
        <f aca="false">IF(F463="","",IF(COUNTIF('DS XE - TAI XE'!$B$6:$B$505,F463)&gt;0,"✓ Có","Chưa có trong DS xe"))</f>
        <v/>
      </c>
    </row>
    <row r="464" customFormat="false" ht="15" hidden="false" customHeight="false" outlineLevel="0" collapsed="false">
      <c r="A464" s="12" t="str">
        <f aca="false">IF(F464="","",COUNTA($F$8:F464))</f>
        <v/>
      </c>
      <c r="B464" s="4"/>
      <c r="C464" s="13"/>
      <c r="D464" s="14"/>
      <c r="E464" s="14"/>
      <c r="F464" s="15"/>
      <c r="G464" s="16"/>
      <c r="H464" s="16"/>
      <c r="I464" s="17" t="str">
        <f aca="false">IF(OR(G464="",H464=""),"",H464-G464)</f>
        <v/>
      </c>
      <c r="J464" s="4"/>
      <c r="K464" s="4"/>
      <c r="L464" s="18" t="str">
        <f aca="false">IF(F464="","",IF(COUNTIF('DS XE - TAI XE'!$B$6:$B$505,F464)&gt;0,"✓ Có","Chưa có trong DS xe"))</f>
        <v/>
      </c>
    </row>
    <row r="465" customFormat="false" ht="15" hidden="false" customHeight="false" outlineLevel="0" collapsed="false">
      <c r="A465" s="12" t="str">
        <f aca="false">IF(F465="","",COUNTA($F$8:F465))</f>
        <v/>
      </c>
      <c r="B465" s="4"/>
      <c r="C465" s="13"/>
      <c r="D465" s="14"/>
      <c r="E465" s="14"/>
      <c r="F465" s="15"/>
      <c r="G465" s="16"/>
      <c r="H465" s="16"/>
      <c r="I465" s="17" t="str">
        <f aca="false">IF(OR(G465="",H465=""),"",H465-G465)</f>
        <v/>
      </c>
      <c r="J465" s="4"/>
      <c r="K465" s="4"/>
      <c r="L465" s="18" t="str">
        <f aca="false">IF(F465="","",IF(COUNTIF('DS XE - TAI XE'!$B$6:$B$505,F465)&gt;0,"✓ Có","Chưa có trong DS xe"))</f>
        <v/>
      </c>
    </row>
    <row r="466" customFormat="false" ht="15" hidden="false" customHeight="false" outlineLevel="0" collapsed="false">
      <c r="A466" s="12" t="str">
        <f aca="false">IF(F466="","",COUNTA($F$8:F466))</f>
        <v/>
      </c>
      <c r="B466" s="4"/>
      <c r="C466" s="13"/>
      <c r="D466" s="14"/>
      <c r="E466" s="14"/>
      <c r="F466" s="15"/>
      <c r="G466" s="16"/>
      <c r="H466" s="16"/>
      <c r="I466" s="17" t="str">
        <f aca="false">IF(OR(G466="",H466=""),"",H466-G466)</f>
        <v/>
      </c>
      <c r="J466" s="4"/>
      <c r="K466" s="4"/>
      <c r="L466" s="18" t="str">
        <f aca="false">IF(F466="","",IF(COUNTIF('DS XE - TAI XE'!$B$6:$B$505,F466)&gt;0,"✓ Có","Chưa có trong DS xe"))</f>
        <v/>
      </c>
    </row>
    <row r="467" customFormat="false" ht="15" hidden="false" customHeight="false" outlineLevel="0" collapsed="false">
      <c r="A467" s="12" t="str">
        <f aca="false">IF(F467="","",COUNTA($F$8:F467))</f>
        <v/>
      </c>
      <c r="B467" s="4"/>
      <c r="C467" s="13"/>
      <c r="D467" s="14"/>
      <c r="E467" s="14"/>
      <c r="F467" s="15"/>
      <c r="G467" s="16"/>
      <c r="H467" s="16"/>
      <c r="I467" s="17" t="str">
        <f aca="false">IF(OR(G467="",H467=""),"",H467-G467)</f>
        <v/>
      </c>
      <c r="J467" s="4"/>
      <c r="K467" s="4"/>
      <c r="L467" s="18" t="str">
        <f aca="false">IF(F467="","",IF(COUNTIF('DS XE - TAI XE'!$B$6:$B$505,F467)&gt;0,"✓ Có","Chưa có trong DS xe"))</f>
        <v/>
      </c>
    </row>
    <row r="468" customFormat="false" ht="15" hidden="false" customHeight="false" outlineLevel="0" collapsed="false">
      <c r="A468" s="12" t="str">
        <f aca="false">IF(F468="","",COUNTA($F$8:F468))</f>
        <v/>
      </c>
      <c r="B468" s="4"/>
      <c r="C468" s="13"/>
      <c r="D468" s="14"/>
      <c r="E468" s="14"/>
      <c r="F468" s="15"/>
      <c r="G468" s="16"/>
      <c r="H468" s="16"/>
      <c r="I468" s="17" t="str">
        <f aca="false">IF(OR(G468="",H468=""),"",H468-G468)</f>
        <v/>
      </c>
      <c r="J468" s="4"/>
      <c r="K468" s="4"/>
      <c r="L468" s="18" t="str">
        <f aca="false">IF(F468="","",IF(COUNTIF('DS XE - TAI XE'!$B$6:$B$505,F468)&gt;0,"✓ Có","Chưa có trong DS xe"))</f>
        <v/>
      </c>
    </row>
    <row r="469" customFormat="false" ht="15" hidden="false" customHeight="false" outlineLevel="0" collapsed="false">
      <c r="A469" s="12" t="str">
        <f aca="false">IF(F469="","",COUNTA($F$8:F469))</f>
        <v/>
      </c>
      <c r="B469" s="4"/>
      <c r="C469" s="13"/>
      <c r="D469" s="14"/>
      <c r="E469" s="14"/>
      <c r="F469" s="15"/>
      <c r="G469" s="16"/>
      <c r="H469" s="16"/>
      <c r="I469" s="17" t="str">
        <f aca="false">IF(OR(G469="",H469=""),"",H469-G469)</f>
        <v/>
      </c>
      <c r="J469" s="4"/>
      <c r="K469" s="4"/>
      <c r="L469" s="18" t="str">
        <f aca="false">IF(F469="","",IF(COUNTIF('DS XE - TAI XE'!$B$6:$B$505,F469)&gt;0,"✓ Có","Chưa có trong DS xe"))</f>
        <v/>
      </c>
    </row>
    <row r="470" customFormat="false" ht="15" hidden="false" customHeight="false" outlineLevel="0" collapsed="false">
      <c r="A470" s="12" t="str">
        <f aca="false">IF(F470="","",COUNTA($F$8:F470))</f>
        <v/>
      </c>
      <c r="B470" s="4"/>
      <c r="C470" s="13"/>
      <c r="D470" s="14"/>
      <c r="E470" s="14"/>
      <c r="F470" s="15"/>
      <c r="G470" s="16"/>
      <c r="H470" s="16"/>
      <c r="I470" s="17" t="str">
        <f aca="false">IF(OR(G470="",H470=""),"",H470-G470)</f>
        <v/>
      </c>
      <c r="J470" s="4"/>
      <c r="K470" s="4"/>
      <c r="L470" s="18" t="str">
        <f aca="false">IF(F470="","",IF(COUNTIF('DS XE - TAI XE'!$B$6:$B$505,F470)&gt;0,"✓ Có","Chưa có trong DS xe"))</f>
        <v/>
      </c>
    </row>
    <row r="471" customFormat="false" ht="15" hidden="false" customHeight="false" outlineLevel="0" collapsed="false">
      <c r="A471" s="12" t="str">
        <f aca="false">IF(F471="","",COUNTA($F$8:F471))</f>
        <v/>
      </c>
      <c r="B471" s="4"/>
      <c r="C471" s="13"/>
      <c r="D471" s="14"/>
      <c r="E471" s="14"/>
      <c r="F471" s="15"/>
      <c r="G471" s="16"/>
      <c r="H471" s="16"/>
      <c r="I471" s="17" t="str">
        <f aca="false">IF(OR(G471="",H471=""),"",H471-G471)</f>
        <v/>
      </c>
      <c r="J471" s="4"/>
      <c r="K471" s="4"/>
      <c r="L471" s="18" t="str">
        <f aca="false">IF(F471="","",IF(COUNTIF('DS XE - TAI XE'!$B$6:$B$505,F471)&gt;0,"✓ Có","Chưa có trong DS xe"))</f>
        <v/>
      </c>
    </row>
    <row r="472" customFormat="false" ht="15" hidden="false" customHeight="false" outlineLevel="0" collapsed="false">
      <c r="A472" s="12" t="str">
        <f aca="false">IF(F472="","",COUNTA($F$8:F472))</f>
        <v/>
      </c>
      <c r="B472" s="4"/>
      <c r="C472" s="13"/>
      <c r="D472" s="14"/>
      <c r="E472" s="14"/>
      <c r="F472" s="15"/>
      <c r="G472" s="16"/>
      <c r="H472" s="16"/>
      <c r="I472" s="17" t="str">
        <f aca="false">IF(OR(G472="",H472=""),"",H472-G472)</f>
        <v/>
      </c>
      <c r="J472" s="4"/>
      <c r="K472" s="4"/>
      <c r="L472" s="18" t="str">
        <f aca="false">IF(F472="","",IF(COUNTIF('DS XE - TAI XE'!$B$6:$B$505,F472)&gt;0,"✓ Có","Chưa có trong DS xe"))</f>
        <v/>
      </c>
    </row>
    <row r="473" customFormat="false" ht="15" hidden="false" customHeight="false" outlineLevel="0" collapsed="false">
      <c r="A473" s="12" t="str">
        <f aca="false">IF(F473="","",COUNTA($F$8:F473))</f>
        <v/>
      </c>
      <c r="B473" s="4"/>
      <c r="C473" s="13"/>
      <c r="D473" s="14"/>
      <c r="E473" s="14"/>
      <c r="F473" s="15"/>
      <c r="G473" s="16"/>
      <c r="H473" s="16"/>
      <c r="I473" s="17" t="str">
        <f aca="false">IF(OR(G473="",H473=""),"",H473-G473)</f>
        <v/>
      </c>
      <c r="J473" s="4"/>
      <c r="K473" s="4"/>
      <c r="L473" s="18" t="str">
        <f aca="false">IF(F473="","",IF(COUNTIF('DS XE - TAI XE'!$B$6:$B$505,F473)&gt;0,"✓ Có","Chưa có trong DS xe"))</f>
        <v/>
      </c>
    </row>
    <row r="474" customFormat="false" ht="15" hidden="false" customHeight="false" outlineLevel="0" collapsed="false">
      <c r="A474" s="12" t="str">
        <f aca="false">IF(F474="","",COUNTA($F$8:F474))</f>
        <v/>
      </c>
      <c r="B474" s="4"/>
      <c r="C474" s="13"/>
      <c r="D474" s="14"/>
      <c r="E474" s="14"/>
      <c r="F474" s="15"/>
      <c r="G474" s="16"/>
      <c r="H474" s="16"/>
      <c r="I474" s="17" t="str">
        <f aca="false">IF(OR(G474="",H474=""),"",H474-G474)</f>
        <v/>
      </c>
      <c r="J474" s="4"/>
      <c r="K474" s="4"/>
      <c r="L474" s="18" t="str">
        <f aca="false">IF(F474="","",IF(COUNTIF('DS XE - TAI XE'!$B$6:$B$505,F474)&gt;0,"✓ Có","Chưa có trong DS xe"))</f>
        <v/>
      </c>
    </row>
    <row r="475" customFormat="false" ht="15" hidden="false" customHeight="false" outlineLevel="0" collapsed="false">
      <c r="A475" s="12" t="str">
        <f aca="false">IF(F475="","",COUNTA($F$8:F475))</f>
        <v/>
      </c>
      <c r="B475" s="4"/>
      <c r="C475" s="13"/>
      <c r="D475" s="14"/>
      <c r="E475" s="14"/>
      <c r="F475" s="15"/>
      <c r="G475" s="16"/>
      <c r="H475" s="16"/>
      <c r="I475" s="17" t="str">
        <f aca="false">IF(OR(G475="",H475=""),"",H475-G475)</f>
        <v/>
      </c>
      <c r="J475" s="4"/>
      <c r="K475" s="4"/>
      <c r="L475" s="18" t="str">
        <f aca="false">IF(F475="","",IF(COUNTIF('DS XE - TAI XE'!$B$6:$B$505,F475)&gt;0,"✓ Có","Chưa có trong DS xe"))</f>
        <v/>
      </c>
    </row>
    <row r="476" customFormat="false" ht="15" hidden="false" customHeight="false" outlineLevel="0" collapsed="false">
      <c r="A476" s="12" t="str">
        <f aca="false">IF(F476="","",COUNTA($F$8:F476))</f>
        <v/>
      </c>
      <c r="B476" s="4"/>
      <c r="C476" s="13"/>
      <c r="D476" s="14"/>
      <c r="E476" s="14"/>
      <c r="F476" s="15"/>
      <c r="G476" s="16"/>
      <c r="H476" s="16"/>
      <c r="I476" s="17" t="str">
        <f aca="false">IF(OR(G476="",H476=""),"",H476-G476)</f>
        <v/>
      </c>
      <c r="J476" s="4"/>
      <c r="K476" s="4"/>
      <c r="L476" s="18" t="str">
        <f aca="false">IF(F476="","",IF(COUNTIF('DS XE - TAI XE'!$B$6:$B$505,F476)&gt;0,"✓ Có","Chưa có trong DS xe"))</f>
        <v/>
      </c>
    </row>
    <row r="477" customFormat="false" ht="15" hidden="false" customHeight="false" outlineLevel="0" collapsed="false">
      <c r="A477" s="12" t="str">
        <f aca="false">IF(F477="","",COUNTA($F$8:F477))</f>
        <v/>
      </c>
      <c r="B477" s="4"/>
      <c r="C477" s="13"/>
      <c r="D477" s="14"/>
      <c r="E477" s="14"/>
      <c r="F477" s="15"/>
      <c r="G477" s="16"/>
      <c r="H477" s="16"/>
      <c r="I477" s="17" t="str">
        <f aca="false">IF(OR(G477="",H477=""),"",H477-G477)</f>
        <v/>
      </c>
      <c r="J477" s="4"/>
      <c r="K477" s="4"/>
      <c r="L477" s="18" t="str">
        <f aca="false">IF(F477="","",IF(COUNTIF('DS XE - TAI XE'!$B$6:$B$505,F477)&gt;0,"✓ Có","Chưa có trong DS xe"))</f>
        <v/>
      </c>
    </row>
    <row r="478" customFormat="false" ht="15" hidden="false" customHeight="false" outlineLevel="0" collapsed="false">
      <c r="A478" s="12" t="str">
        <f aca="false">IF(F478="","",COUNTA($F$8:F478))</f>
        <v/>
      </c>
      <c r="B478" s="4"/>
      <c r="C478" s="13"/>
      <c r="D478" s="14"/>
      <c r="E478" s="14"/>
      <c r="F478" s="15"/>
      <c r="G478" s="16"/>
      <c r="H478" s="16"/>
      <c r="I478" s="17" t="str">
        <f aca="false">IF(OR(G478="",H478=""),"",H478-G478)</f>
        <v/>
      </c>
      <c r="J478" s="4"/>
      <c r="K478" s="4"/>
      <c r="L478" s="18" t="str">
        <f aca="false">IF(F478="","",IF(COUNTIF('DS XE - TAI XE'!$B$6:$B$505,F478)&gt;0,"✓ Có","Chưa có trong DS xe"))</f>
        <v/>
      </c>
    </row>
    <row r="479" customFormat="false" ht="15" hidden="false" customHeight="false" outlineLevel="0" collapsed="false">
      <c r="A479" s="12" t="str">
        <f aca="false">IF(F479="","",COUNTA($F$8:F479))</f>
        <v/>
      </c>
      <c r="B479" s="4"/>
      <c r="C479" s="13"/>
      <c r="D479" s="14"/>
      <c r="E479" s="14"/>
      <c r="F479" s="15"/>
      <c r="G479" s="16"/>
      <c r="H479" s="16"/>
      <c r="I479" s="17" t="str">
        <f aca="false">IF(OR(G479="",H479=""),"",H479-G479)</f>
        <v/>
      </c>
      <c r="J479" s="4"/>
      <c r="K479" s="4"/>
      <c r="L479" s="18" t="str">
        <f aca="false">IF(F479="","",IF(COUNTIF('DS XE - TAI XE'!$B$6:$B$505,F479)&gt;0,"✓ Có","Chưa có trong DS xe"))</f>
        <v/>
      </c>
    </row>
    <row r="480" customFormat="false" ht="15" hidden="false" customHeight="false" outlineLevel="0" collapsed="false">
      <c r="A480" s="12" t="str">
        <f aca="false">IF(F480="","",COUNTA($F$8:F480))</f>
        <v/>
      </c>
      <c r="B480" s="4"/>
      <c r="C480" s="13"/>
      <c r="D480" s="14"/>
      <c r="E480" s="14"/>
      <c r="F480" s="15"/>
      <c r="G480" s="16"/>
      <c r="H480" s="16"/>
      <c r="I480" s="17" t="str">
        <f aca="false">IF(OR(G480="",H480=""),"",H480-G480)</f>
        <v/>
      </c>
      <c r="J480" s="4"/>
      <c r="K480" s="4"/>
      <c r="L480" s="18" t="str">
        <f aca="false">IF(F480="","",IF(COUNTIF('DS XE - TAI XE'!$B$6:$B$505,F480)&gt;0,"✓ Có","Chưa có trong DS xe"))</f>
        <v/>
      </c>
    </row>
    <row r="481" customFormat="false" ht="15" hidden="false" customHeight="false" outlineLevel="0" collapsed="false">
      <c r="A481" s="12" t="str">
        <f aca="false">IF(F481="","",COUNTA($F$8:F481))</f>
        <v/>
      </c>
      <c r="B481" s="4"/>
      <c r="C481" s="13"/>
      <c r="D481" s="14"/>
      <c r="E481" s="14"/>
      <c r="F481" s="15"/>
      <c r="G481" s="16"/>
      <c r="H481" s="16"/>
      <c r="I481" s="17" t="str">
        <f aca="false">IF(OR(G481="",H481=""),"",H481-G481)</f>
        <v/>
      </c>
      <c r="J481" s="4"/>
      <c r="K481" s="4"/>
      <c r="L481" s="18" t="str">
        <f aca="false">IF(F481="","",IF(COUNTIF('DS XE - TAI XE'!$B$6:$B$505,F481)&gt;0,"✓ Có","Chưa có trong DS xe"))</f>
        <v/>
      </c>
    </row>
    <row r="482" customFormat="false" ht="15" hidden="false" customHeight="false" outlineLevel="0" collapsed="false">
      <c r="A482" s="12" t="str">
        <f aca="false">IF(F482="","",COUNTA($F$8:F482))</f>
        <v/>
      </c>
      <c r="B482" s="4"/>
      <c r="C482" s="13"/>
      <c r="D482" s="14"/>
      <c r="E482" s="14"/>
      <c r="F482" s="15"/>
      <c r="G482" s="16"/>
      <c r="H482" s="16"/>
      <c r="I482" s="17" t="str">
        <f aca="false">IF(OR(G482="",H482=""),"",H482-G482)</f>
        <v/>
      </c>
      <c r="J482" s="4"/>
      <c r="K482" s="4"/>
      <c r="L482" s="18" t="str">
        <f aca="false">IF(F482="","",IF(COUNTIF('DS XE - TAI XE'!$B$6:$B$505,F482)&gt;0,"✓ Có","Chưa có trong DS xe"))</f>
        <v/>
      </c>
    </row>
    <row r="483" customFormat="false" ht="15" hidden="false" customHeight="false" outlineLevel="0" collapsed="false">
      <c r="A483" s="12" t="str">
        <f aca="false">IF(F483="","",COUNTA($F$8:F483))</f>
        <v/>
      </c>
      <c r="B483" s="4"/>
      <c r="C483" s="13"/>
      <c r="D483" s="14"/>
      <c r="E483" s="14"/>
      <c r="F483" s="15"/>
      <c r="G483" s="16"/>
      <c r="H483" s="16"/>
      <c r="I483" s="17" t="str">
        <f aca="false">IF(OR(G483="",H483=""),"",H483-G483)</f>
        <v/>
      </c>
      <c r="J483" s="4"/>
      <c r="K483" s="4"/>
      <c r="L483" s="18" t="str">
        <f aca="false">IF(F483="","",IF(COUNTIF('DS XE - TAI XE'!$B$6:$B$505,F483)&gt;0,"✓ Có","Chưa có trong DS xe"))</f>
        <v/>
      </c>
    </row>
    <row r="484" customFormat="false" ht="15" hidden="false" customHeight="false" outlineLevel="0" collapsed="false">
      <c r="A484" s="12" t="str">
        <f aca="false">IF(F484="","",COUNTA($F$8:F484))</f>
        <v/>
      </c>
      <c r="B484" s="4"/>
      <c r="C484" s="13"/>
      <c r="D484" s="14"/>
      <c r="E484" s="14"/>
      <c r="F484" s="15"/>
      <c r="G484" s="16"/>
      <c r="H484" s="16"/>
      <c r="I484" s="17" t="str">
        <f aca="false">IF(OR(G484="",H484=""),"",H484-G484)</f>
        <v/>
      </c>
      <c r="J484" s="4"/>
      <c r="K484" s="4"/>
      <c r="L484" s="18" t="str">
        <f aca="false">IF(F484="","",IF(COUNTIF('DS XE - TAI XE'!$B$6:$B$505,F484)&gt;0,"✓ Có","Chưa có trong DS xe"))</f>
        <v/>
      </c>
    </row>
    <row r="485" customFormat="false" ht="15" hidden="false" customHeight="false" outlineLevel="0" collapsed="false">
      <c r="A485" s="12" t="str">
        <f aca="false">IF(F485="","",COUNTA($F$8:F485))</f>
        <v/>
      </c>
      <c r="B485" s="4"/>
      <c r="C485" s="13"/>
      <c r="D485" s="14"/>
      <c r="E485" s="14"/>
      <c r="F485" s="15"/>
      <c r="G485" s="16"/>
      <c r="H485" s="16"/>
      <c r="I485" s="17" t="str">
        <f aca="false">IF(OR(G485="",H485=""),"",H485-G485)</f>
        <v/>
      </c>
      <c r="J485" s="4"/>
      <c r="K485" s="4"/>
      <c r="L485" s="18" t="str">
        <f aca="false">IF(F485="","",IF(COUNTIF('DS XE - TAI XE'!$B$6:$B$505,F485)&gt;0,"✓ Có","Chưa có trong DS xe"))</f>
        <v/>
      </c>
    </row>
    <row r="486" customFormat="false" ht="15" hidden="false" customHeight="false" outlineLevel="0" collapsed="false">
      <c r="A486" s="12" t="str">
        <f aca="false">IF(F486="","",COUNTA($F$8:F486))</f>
        <v/>
      </c>
      <c r="B486" s="4"/>
      <c r="C486" s="13"/>
      <c r="D486" s="14"/>
      <c r="E486" s="14"/>
      <c r="F486" s="15"/>
      <c r="G486" s="16"/>
      <c r="H486" s="16"/>
      <c r="I486" s="17" t="str">
        <f aca="false">IF(OR(G486="",H486=""),"",H486-G486)</f>
        <v/>
      </c>
      <c r="J486" s="4"/>
      <c r="K486" s="4"/>
      <c r="L486" s="18" t="str">
        <f aca="false">IF(F486="","",IF(COUNTIF('DS XE - TAI XE'!$B$6:$B$505,F486)&gt;0,"✓ Có","Chưa có trong DS xe"))</f>
        <v/>
      </c>
    </row>
    <row r="487" customFormat="false" ht="15" hidden="false" customHeight="false" outlineLevel="0" collapsed="false">
      <c r="A487" s="12" t="str">
        <f aca="false">IF(F487="","",COUNTA($F$8:F487))</f>
        <v/>
      </c>
      <c r="B487" s="4"/>
      <c r="C487" s="13"/>
      <c r="D487" s="14"/>
      <c r="E487" s="14"/>
      <c r="F487" s="15"/>
      <c r="G487" s="16"/>
      <c r="H487" s="16"/>
      <c r="I487" s="17" t="str">
        <f aca="false">IF(OR(G487="",H487=""),"",H487-G487)</f>
        <v/>
      </c>
      <c r="J487" s="4"/>
      <c r="K487" s="4"/>
      <c r="L487" s="18" t="str">
        <f aca="false">IF(F487="","",IF(COUNTIF('DS XE - TAI XE'!$B$6:$B$505,F487)&gt;0,"✓ Có","Chưa có trong DS xe"))</f>
        <v/>
      </c>
    </row>
    <row r="488" customFormat="false" ht="15" hidden="false" customHeight="false" outlineLevel="0" collapsed="false">
      <c r="A488" s="12" t="str">
        <f aca="false">IF(F488="","",COUNTA($F$8:F488))</f>
        <v/>
      </c>
      <c r="B488" s="4"/>
      <c r="C488" s="13"/>
      <c r="D488" s="14"/>
      <c r="E488" s="14"/>
      <c r="F488" s="15"/>
      <c r="G488" s="16"/>
      <c r="H488" s="16"/>
      <c r="I488" s="17" t="str">
        <f aca="false">IF(OR(G488="",H488=""),"",H488-G488)</f>
        <v/>
      </c>
      <c r="J488" s="4"/>
      <c r="K488" s="4"/>
      <c r="L488" s="18" t="str">
        <f aca="false">IF(F488="","",IF(COUNTIF('DS XE - TAI XE'!$B$6:$B$505,F488)&gt;0,"✓ Có","Chưa có trong DS xe"))</f>
        <v/>
      </c>
    </row>
    <row r="489" customFormat="false" ht="15" hidden="false" customHeight="false" outlineLevel="0" collapsed="false">
      <c r="A489" s="12" t="str">
        <f aca="false">IF(F489="","",COUNTA($F$8:F489))</f>
        <v/>
      </c>
      <c r="B489" s="4"/>
      <c r="C489" s="13"/>
      <c r="D489" s="14"/>
      <c r="E489" s="14"/>
      <c r="F489" s="15"/>
      <c r="G489" s="16"/>
      <c r="H489" s="16"/>
      <c r="I489" s="17" t="str">
        <f aca="false">IF(OR(G489="",H489=""),"",H489-G489)</f>
        <v/>
      </c>
      <c r="J489" s="4"/>
      <c r="K489" s="4"/>
      <c r="L489" s="18" t="str">
        <f aca="false">IF(F489="","",IF(COUNTIF('DS XE - TAI XE'!$B$6:$B$505,F489)&gt;0,"✓ Có","Chưa có trong DS xe"))</f>
        <v/>
      </c>
    </row>
    <row r="490" customFormat="false" ht="15" hidden="false" customHeight="false" outlineLevel="0" collapsed="false">
      <c r="A490" s="12" t="str">
        <f aca="false">IF(F490="","",COUNTA($F$8:F490))</f>
        <v/>
      </c>
      <c r="B490" s="4"/>
      <c r="C490" s="13"/>
      <c r="D490" s="14"/>
      <c r="E490" s="14"/>
      <c r="F490" s="15"/>
      <c r="G490" s="16"/>
      <c r="H490" s="16"/>
      <c r="I490" s="17" t="str">
        <f aca="false">IF(OR(G490="",H490=""),"",H490-G490)</f>
        <v/>
      </c>
      <c r="J490" s="4"/>
      <c r="K490" s="4"/>
      <c r="L490" s="18" t="str">
        <f aca="false">IF(F490="","",IF(COUNTIF('DS XE - TAI XE'!$B$6:$B$505,F490)&gt;0,"✓ Có","Chưa có trong DS xe"))</f>
        <v/>
      </c>
    </row>
    <row r="491" customFormat="false" ht="15" hidden="false" customHeight="false" outlineLevel="0" collapsed="false">
      <c r="A491" s="12" t="str">
        <f aca="false">IF(F491="","",COUNTA($F$8:F491))</f>
        <v/>
      </c>
      <c r="B491" s="4"/>
      <c r="C491" s="13"/>
      <c r="D491" s="14"/>
      <c r="E491" s="14"/>
      <c r="F491" s="15"/>
      <c r="G491" s="16"/>
      <c r="H491" s="16"/>
      <c r="I491" s="17" t="str">
        <f aca="false">IF(OR(G491="",H491=""),"",H491-G491)</f>
        <v/>
      </c>
      <c r="J491" s="4"/>
      <c r="K491" s="4"/>
      <c r="L491" s="18" t="str">
        <f aca="false">IF(F491="","",IF(COUNTIF('DS XE - TAI XE'!$B$6:$B$505,F491)&gt;0,"✓ Có","Chưa có trong DS xe"))</f>
        <v/>
      </c>
    </row>
    <row r="492" customFormat="false" ht="15" hidden="false" customHeight="false" outlineLevel="0" collapsed="false">
      <c r="A492" s="12" t="str">
        <f aca="false">IF(F492="","",COUNTA($F$8:F492))</f>
        <v/>
      </c>
      <c r="B492" s="4"/>
      <c r="C492" s="13"/>
      <c r="D492" s="14"/>
      <c r="E492" s="14"/>
      <c r="F492" s="15"/>
      <c r="G492" s="16"/>
      <c r="H492" s="16"/>
      <c r="I492" s="17" t="str">
        <f aca="false">IF(OR(G492="",H492=""),"",H492-G492)</f>
        <v/>
      </c>
      <c r="J492" s="4"/>
      <c r="K492" s="4"/>
      <c r="L492" s="18" t="str">
        <f aca="false">IF(F492="","",IF(COUNTIF('DS XE - TAI XE'!$B$6:$B$505,F492)&gt;0,"✓ Có","Chưa có trong DS xe"))</f>
        <v/>
      </c>
    </row>
    <row r="493" customFormat="false" ht="15" hidden="false" customHeight="false" outlineLevel="0" collapsed="false">
      <c r="A493" s="12" t="str">
        <f aca="false">IF(F493="","",COUNTA($F$8:F493))</f>
        <v/>
      </c>
      <c r="B493" s="4"/>
      <c r="C493" s="13"/>
      <c r="D493" s="14"/>
      <c r="E493" s="14"/>
      <c r="F493" s="15"/>
      <c r="G493" s="16"/>
      <c r="H493" s="16"/>
      <c r="I493" s="17" t="str">
        <f aca="false">IF(OR(G493="",H493=""),"",H493-G493)</f>
        <v/>
      </c>
      <c r="J493" s="4"/>
      <c r="K493" s="4"/>
      <c r="L493" s="18" t="str">
        <f aca="false">IF(F493="","",IF(COUNTIF('DS XE - TAI XE'!$B$6:$B$505,F493)&gt;0,"✓ Có","Chưa có trong DS xe"))</f>
        <v/>
      </c>
    </row>
    <row r="494" customFormat="false" ht="15" hidden="false" customHeight="false" outlineLevel="0" collapsed="false">
      <c r="A494" s="12" t="str">
        <f aca="false">IF(F494="","",COUNTA($F$8:F494))</f>
        <v/>
      </c>
      <c r="B494" s="4"/>
      <c r="C494" s="13"/>
      <c r="D494" s="14"/>
      <c r="E494" s="14"/>
      <c r="F494" s="15"/>
      <c r="G494" s="16"/>
      <c r="H494" s="16"/>
      <c r="I494" s="17" t="str">
        <f aca="false">IF(OR(G494="",H494=""),"",H494-G494)</f>
        <v/>
      </c>
      <c r="J494" s="4"/>
      <c r="K494" s="4"/>
      <c r="L494" s="18" t="str">
        <f aca="false">IF(F494="","",IF(COUNTIF('DS XE - TAI XE'!$B$6:$B$505,F494)&gt;0,"✓ Có","Chưa có trong DS xe"))</f>
        <v/>
      </c>
    </row>
    <row r="495" customFormat="false" ht="15" hidden="false" customHeight="false" outlineLevel="0" collapsed="false">
      <c r="A495" s="12" t="str">
        <f aca="false">IF(F495="","",COUNTA($F$8:F495))</f>
        <v/>
      </c>
      <c r="B495" s="4"/>
      <c r="C495" s="13"/>
      <c r="D495" s="14"/>
      <c r="E495" s="14"/>
      <c r="F495" s="15"/>
      <c r="G495" s="16"/>
      <c r="H495" s="16"/>
      <c r="I495" s="17" t="str">
        <f aca="false">IF(OR(G495="",H495=""),"",H495-G495)</f>
        <v/>
      </c>
      <c r="J495" s="4"/>
      <c r="K495" s="4"/>
      <c r="L495" s="18" t="str">
        <f aca="false">IF(F495="","",IF(COUNTIF('DS XE - TAI XE'!$B$6:$B$505,F495)&gt;0,"✓ Có","Chưa có trong DS xe"))</f>
        <v/>
      </c>
    </row>
    <row r="496" customFormat="false" ht="15" hidden="false" customHeight="false" outlineLevel="0" collapsed="false">
      <c r="A496" s="12" t="str">
        <f aca="false">IF(F496="","",COUNTA($F$8:F496))</f>
        <v/>
      </c>
      <c r="B496" s="4"/>
      <c r="C496" s="13"/>
      <c r="D496" s="14"/>
      <c r="E496" s="14"/>
      <c r="F496" s="15"/>
      <c r="G496" s="16"/>
      <c r="H496" s="16"/>
      <c r="I496" s="17" t="str">
        <f aca="false">IF(OR(G496="",H496=""),"",H496-G496)</f>
        <v/>
      </c>
      <c r="J496" s="4"/>
      <c r="K496" s="4"/>
      <c r="L496" s="18" t="str">
        <f aca="false">IF(F496="","",IF(COUNTIF('DS XE - TAI XE'!$B$6:$B$505,F496)&gt;0,"✓ Có","Chưa có trong DS xe"))</f>
        <v/>
      </c>
    </row>
    <row r="497" customFormat="false" ht="15" hidden="false" customHeight="false" outlineLevel="0" collapsed="false">
      <c r="A497" s="12" t="str">
        <f aca="false">IF(F497="","",COUNTA($F$8:F497))</f>
        <v/>
      </c>
      <c r="B497" s="4"/>
      <c r="C497" s="13"/>
      <c r="D497" s="14"/>
      <c r="E497" s="14"/>
      <c r="F497" s="15"/>
      <c r="G497" s="16"/>
      <c r="H497" s="16"/>
      <c r="I497" s="17" t="str">
        <f aca="false">IF(OR(G497="",H497=""),"",H497-G497)</f>
        <v/>
      </c>
      <c r="J497" s="4"/>
      <c r="K497" s="4"/>
      <c r="L497" s="18" t="str">
        <f aca="false">IF(F497="","",IF(COUNTIF('DS XE - TAI XE'!$B$6:$B$505,F497)&gt;0,"✓ Có","Chưa có trong DS xe"))</f>
        <v/>
      </c>
    </row>
    <row r="498" customFormat="false" ht="15" hidden="false" customHeight="false" outlineLevel="0" collapsed="false">
      <c r="A498" s="12" t="str">
        <f aca="false">IF(F498="","",COUNTA($F$8:F498))</f>
        <v/>
      </c>
      <c r="B498" s="4"/>
      <c r="C498" s="13"/>
      <c r="D498" s="14"/>
      <c r="E498" s="14"/>
      <c r="F498" s="15"/>
      <c r="G498" s="16"/>
      <c r="H498" s="16"/>
      <c r="I498" s="17" t="str">
        <f aca="false">IF(OR(G498="",H498=""),"",H498-G498)</f>
        <v/>
      </c>
      <c r="J498" s="4"/>
      <c r="K498" s="4"/>
      <c r="L498" s="18" t="str">
        <f aca="false">IF(F498="","",IF(COUNTIF('DS XE - TAI XE'!$B$6:$B$505,F498)&gt;0,"✓ Có","Chưa có trong DS xe"))</f>
        <v/>
      </c>
    </row>
    <row r="499" customFormat="false" ht="15" hidden="false" customHeight="false" outlineLevel="0" collapsed="false">
      <c r="A499" s="12" t="str">
        <f aca="false">IF(F499="","",COUNTA($F$8:F499))</f>
        <v/>
      </c>
      <c r="B499" s="4"/>
      <c r="C499" s="13"/>
      <c r="D499" s="14"/>
      <c r="E499" s="14"/>
      <c r="F499" s="15"/>
      <c r="G499" s="16"/>
      <c r="H499" s="16"/>
      <c r="I499" s="17" t="str">
        <f aca="false">IF(OR(G499="",H499=""),"",H499-G499)</f>
        <v/>
      </c>
      <c r="J499" s="4"/>
      <c r="K499" s="4"/>
      <c r="L499" s="18" t="str">
        <f aca="false">IF(F499="","",IF(COUNTIF('DS XE - TAI XE'!$B$6:$B$505,F499)&gt;0,"✓ Có","Chưa có trong DS xe"))</f>
        <v/>
      </c>
    </row>
    <row r="500" customFormat="false" ht="15" hidden="false" customHeight="false" outlineLevel="0" collapsed="false">
      <c r="A500" s="12" t="str">
        <f aca="false">IF(F500="","",COUNTA($F$8:F500))</f>
        <v/>
      </c>
      <c r="B500" s="4"/>
      <c r="C500" s="13"/>
      <c r="D500" s="14"/>
      <c r="E500" s="14"/>
      <c r="F500" s="15"/>
      <c r="G500" s="16"/>
      <c r="H500" s="16"/>
      <c r="I500" s="17" t="str">
        <f aca="false">IF(OR(G500="",H500=""),"",H500-G500)</f>
        <v/>
      </c>
      <c r="J500" s="4"/>
      <c r="K500" s="4"/>
      <c r="L500" s="18" t="str">
        <f aca="false">IF(F500="","",IF(COUNTIF('DS XE - TAI XE'!$B$6:$B$505,F500)&gt;0,"✓ Có","Chưa có trong DS xe"))</f>
        <v/>
      </c>
    </row>
    <row r="501" customFormat="false" ht="15" hidden="false" customHeight="false" outlineLevel="0" collapsed="false">
      <c r="A501" s="12" t="str">
        <f aca="false">IF(F501="","",COUNTA($F$8:F501))</f>
        <v/>
      </c>
      <c r="B501" s="4"/>
      <c r="C501" s="13"/>
      <c r="D501" s="14"/>
      <c r="E501" s="14"/>
      <c r="F501" s="15"/>
      <c r="G501" s="16"/>
      <c r="H501" s="16"/>
      <c r="I501" s="17" t="str">
        <f aca="false">IF(OR(G501="",H501=""),"",H501-G501)</f>
        <v/>
      </c>
      <c r="J501" s="4"/>
      <c r="K501" s="4"/>
      <c r="L501" s="18" t="str">
        <f aca="false">IF(F501="","",IF(COUNTIF('DS XE - TAI XE'!$B$6:$B$505,F501)&gt;0,"✓ Có","Chưa có trong DS xe"))</f>
        <v/>
      </c>
    </row>
    <row r="502" customFormat="false" ht="15" hidden="false" customHeight="false" outlineLevel="0" collapsed="false">
      <c r="A502" s="12" t="str">
        <f aca="false">IF(F502="","",COUNTA($F$8:F502))</f>
        <v/>
      </c>
      <c r="B502" s="4"/>
      <c r="C502" s="13"/>
      <c r="D502" s="14"/>
      <c r="E502" s="14"/>
      <c r="F502" s="15"/>
      <c r="G502" s="16"/>
      <c r="H502" s="16"/>
      <c r="I502" s="17" t="str">
        <f aca="false">IF(OR(G502="",H502=""),"",H502-G502)</f>
        <v/>
      </c>
      <c r="J502" s="4"/>
      <c r="K502" s="4"/>
      <c r="L502" s="18" t="str">
        <f aca="false">IF(F502="","",IF(COUNTIF('DS XE - TAI XE'!$B$6:$B$505,F502)&gt;0,"✓ Có","Chưa có trong DS xe"))</f>
        <v/>
      </c>
    </row>
    <row r="503" customFormat="false" ht="15" hidden="false" customHeight="false" outlineLevel="0" collapsed="false">
      <c r="A503" s="12" t="str">
        <f aca="false">IF(F503="","",COUNTA($F$8:F503))</f>
        <v/>
      </c>
      <c r="B503" s="4"/>
      <c r="C503" s="13"/>
      <c r="D503" s="14"/>
      <c r="E503" s="14"/>
      <c r="F503" s="15"/>
      <c r="G503" s="16"/>
      <c r="H503" s="16"/>
      <c r="I503" s="17" t="str">
        <f aca="false">IF(OR(G503="",H503=""),"",H503-G503)</f>
        <v/>
      </c>
      <c r="J503" s="4"/>
      <c r="K503" s="4"/>
      <c r="L503" s="18" t="str">
        <f aca="false">IF(F503="","",IF(COUNTIF('DS XE - TAI XE'!$B$6:$B$505,F503)&gt;0,"✓ Có","Chưa có trong DS xe"))</f>
        <v/>
      </c>
    </row>
    <row r="504" customFormat="false" ht="15" hidden="false" customHeight="false" outlineLevel="0" collapsed="false">
      <c r="A504" s="12" t="str">
        <f aca="false">IF(F504="","",COUNTA($F$8:F504))</f>
        <v/>
      </c>
      <c r="B504" s="4"/>
      <c r="C504" s="13"/>
      <c r="D504" s="14"/>
      <c r="E504" s="14"/>
      <c r="F504" s="15"/>
      <c r="G504" s="16"/>
      <c r="H504" s="16"/>
      <c r="I504" s="17" t="str">
        <f aca="false">IF(OR(G504="",H504=""),"",H504-G504)</f>
        <v/>
      </c>
      <c r="J504" s="4"/>
      <c r="K504" s="4"/>
      <c r="L504" s="18" t="str">
        <f aca="false">IF(F504="","",IF(COUNTIF('DS XE - TAI XE'!$B$6:$B$505,F504)&gt;0,"✓ Có","Chưa có trong DS xe"))</f>
        <v/>
      </c>
    </row>
    <row r="505" customFormat="false" ht="15" hidden="false" customHeight="false" outlineLevel="0" collapsed="false">
      <c r="A505" s="12" t="str">
        <f aca="false">IF(F505="","",COUNTA($F$8:F505))</f>
        <v/>
      </c>
      <c r="B505" s="4"/>
      <c r="C505" s="13"/>
      <c r="D505" s="14"/>
      <c r="E505" s="14"/>
      <c r="F505" s="15"/>
      <c r="G505" s="16"/>
      <c r="H505" s="16"/>
      <c r="I505" s="17" t="str">
        <f aca="false">IF(OR(G505="",H505=""),"",H505-G505)</f>
        <v/>
      </c>
      <c r="J505" s="4"/>
      <c r="K505" s="4"/>
      <c r="L505" s="18" t="str">
        <f aca="false">IF(F505="","",IF(COUNTIF('DS XE - TAI XE'!$B$6:$B$505,F505)&gt;0,"✓ Có","Chưa có trong DS xe"))</f>
        <v/>
      </c>
    </row>
    <row r="506" customFormat="false" ht="15" hidden="false" customHeight="false" outlineLevel="0" collapsed="false">
      <c r="A506" s="12" t="str">
        <f aca="false">IF(F506="","",COUNTA($F$8:F506))</f>
        <v/>
      </c>
      <c r="B506" s="4"/>
      <c r="C506" s="13"/>
      <c r="D506" s="14"/>
      <c r="E506" s="14"/>
      <c r="F506" s="15"/>
      <c r="G506" s="16"/>
      <c r="H506" s="16"/>
      <c r="I506" s="17" t="str">
        <f aca="false">IF(OR(G506="",H506=""),"",H506-G506)</f>
        <v/>
      </c>
      <c r="J506" s="4"/>
      <c r="K506" s="4"/>
      <c r="L506" s="18" t="str">
        <f aca="false">IF(F506="","",IF(COUNTIF('DS XE - TAI XE'!$B$6:$B$505,F506)&gt;0,"✓ Có","Chưa có trong DS xe"))</f>
        <v/>
      </c>
    </row>
    <row r="507" customFormat="false" ht="15" hidden="false" customHeight="false" outlineLevel="0" collapsed="false">
      <c r="A507" s="12" t="str">
        <f aca="false">IF(F507="","",COUNTA($F$8:F507))</f>
        <v/>
      </c>
      <c r="B507" s="4"/>
      <c r="C507" s="13"/>
      <c r="D507" s="14"/>
      <c r="E507" s="14"/>
      <c r="F507" s="15"/>
      <c r="G507" s="16"/>
      <c r="H507" s="16"/>
      <c r="I507" s="17" t="str">
        <f aca="false">IF(OR(G507="",H507=""),"",H507-G507)</f>
        <v/>
      </c>
      <c r="J507" s="4"/>
      <c r="K507" s="4"/>
      <c r="L507" s="18" t="str">
        <f aca="false">IF(F507="","",IF(COUNTIF('DS XE - TAI XE'!$B$6:$B$505,F507)&gt;0,"✓ Có","Chưa có trong DS xe"))</f>
        <v/>
      </c>
    </row>
    <row r="508" customFormat="false" ht="15" hidden="false" customHeight="false" outlineLevel="0" collapsed="false">
      <c r="A508" s="12" t="str">
        <f aca="false">IF(F508="","",COUNTA($F$8:F508))</f>
        <v/>
      </c>
      <c r="B508" s="4"/>
      <c r="C508" s="13"/>
      <c r="D508" s="14"/>
      <c r="E508" s="14"/>
      <c r="F508" s="15"/>
      <c r="G508" s="16"/>
      <c r="H508" s="16"/>
      <c r="I508" s="17" t="str">
        <f aca="false">IF(OR(G508="",H508=""),"",H508-G508)</f>
        <v/>
      </c>
      <c r="J508" s="4"/>
      <c r="K508" s="4"/>
      <c r="L508" s="18" t="str">
        <f aca="false">IF(F508="","",IF(COUNTIF('DS XE - TAI XE'!$B$6:$B$505,F508)&gt;0,"✓ Có","Chưa có trong DS xe"))</f>
        <v/>
      </c>
    </row>
    <row r="509" customFormat="false" ht="15" hidden="false" customHeight="false" outlineLevel="0" collapsed="false">
      <c r="A509" s="12" t="str">
        <f aca="false">IF(F509="","",COUNTA($F$8:F509))</f>
        <v/>
      </c>
      <c r="B509" s="4"/>
      <c r="C509" s="13"/>
      <c r="D509" s="14"/>
      <c r="E509" s="14"/>
      <c r="F509" s="15"/>
      <c r="G509" s="16"/>
      <c r="H509" s="16"/>
      <c r="I509" s="17" t="str">
        <f aca="false">IF(OR(G509="",H509=""),"",H509-G509)</f>
        <v/>
      </c>
      <c r="J509" s="4"/>
      <c r="K509" s="4"/>
      <c r="L509" s="18" t="str">
        <f aca="false">IF(F509="","",IF(COUNTIF('DS XE - TAI XE'!$B$6:$B$505,F509)&gt;0,"✓ Có","Chưa có trong DS xe"))</f>
        <v/>
      </c>
    </row>
    <row r="510" customFormat="false" ht="15" hidden="false" customHeight="false" outlineLevel="0" collapsed="false">
      <c r="A510" s="12" t="str">
        <f aca="false">IF(F510="","",COUNTA($F$8:F510))</f>
        <v/>
      </c>
      <c r="B510" s="4"/>
      <c r="C510" s="13"/>
      <c r="D510" s="14"/>
      <c r="E510" s="14"/>
      <c r="F510" s="15"/>
      <c r="G510" s="16"/>
      <c r="H510" s="16"/>
      <c r="I510" s="17" t="str">
        <f aca="false">IF(OR(G510="",H510=""),"",H510-G510)</f>
        <v/>
      </c>
      <c r="J510" s="4"/>
      <c r="K510" s="4"/>
      <c r="L510" s="18" t="str">
        <f aca="false">IF(F510="","",IF(COUNTIF('DS XE - TAI XE'!$B$6:$B$505,F510)&gt;0,"✓ Có","Chưa có trong DS xe"))</f>
        <v/>
      </c>
    </row>
    <row r="511" customFormat="false" ht="15" hidden="false" customHeight="false" outlineLevel="0" collapsed="false">
      <c r="A511" s="12" t="str">
        <f aca="false">IF(F511="","",COUNTA($F$8:F511))</f>
        <v/>
      </c>
      <c r="B511" s="4"/>
      <c r="C511" s="13"/>
      <c r="D511" s="14"/>
      <c r="E511" s="14"/>
      <c r="F511" s="15"/>
      <c r="G511" s="16"/>
      <c r="H511" s="16"/>
      <c r="I511" s="17" t="str">
        <f aca="false">IF(OR(G511="",H511=""),"",H511-G511)</f>
        <v/>
      </c>
      <c r="J511" s="4"/>
      <c r="K511" s="4"/>
      <c r="L511" s="18" t="str">
        <f aca="false">IF(F511="","",IF(COUNTIF('DS XE - TAI XE'!$B$6:$B$505,F511)&gt;0,"✓ Có","Chưa có trong DS xe"))</f>
        <v/>
      </c>
    </row>
    <row r="512" customFormat="false" ht="15" hidden="false" customHeight="false" outlineLevel="0" collapsed="false">
      <c r="A512" s="12" t="str">
        <f aca="false">IF(F512="","",COUNTA($F$8:F512))</f>
        <v/>
      </c>
      <c r="B512" s="4"/>
      <c r="C512" s="13"/>
      <c r="D512" s="14"/>
      <c r="E512" s="14"/>
      <c r="F512" s="15"/>
      <c r="G512" s="16"/>
      <c r="H512" s="16"/>
      <c r="I512" s="17" t="str">
        <f aca="false">IF(OR(G512="",H512=""),"",H512-G512)</f>
        <v/>
      </c>
      <c r="J512" s="4"/>
      <c r="K512" s="4"/>
      <c r="L512" s="18" t="str">
        <f aca="false">IF(F512="","",IF(COUNTIF('DS XE - TAI XE'!$B$6:$B$505,F512)&gt;0,"✓ Có","Chưa có trong DS xe"))</f>
        <v/>
      </c>
    </row>
    <row r="513" customFormat="false" ht="15" hidden="false" customHeight="false" outlineLevel="0" collapsed="false">
      <c r="A513" s="12" t="str">
        <f aca="false">IF(F513="","",COUNTA($F$8:F513))</f>
        <v/>
      </c>
      <c r="B513" s="4"/>
      <c r="C513" s="13"/>
      <c r="D513" s="14"/>
      <c r="E513" s="14"/>
      <c r="F513" s="15"/>
      <c r="G513" s="16"/>
      <c r="H513" s="16"/>
      <c r="I513" s="17" t="str">
        <f aca="false">IF(OR(G513="",H513=""),"",H513-G513)</f>
        <v/>
      </c>
      <c r="J513" s="4"/>
      <c r="K513" s="4"/>
      <c r="L513" s="18" t="str">
        <f aca="false">IF(F513="","",IF(COUNTIF('DS XE - TAI XE'!$B$6:$B$505,F513)&gt;0,"✓ Có","Chưa có trong DS xe"))</f>
        <v/>
      </c>
    </row>
    <row r="514" customFormat="false" ht="15" hidden="false" customHeight="false" outlineLevel="0" collapsed="false">
      <c r="A514" s="12" t="str">
        <f aca="false">IF(F514="","",COUNTA($F$8:F514))</f>
        <v/>
      </c>
      <c r="B514" s="4"/>
      <c r="C514" s="13"/>
      <c r="D514" s="14"/>
      <c r="E514" s="14"/>
      <c r="F514" s="15"/>
      <c r="G514" s="16"/>
      <c r="H514" s="16"/>
      <c r="I514" s="17" t="str">
        <f aca="false">IF(OR(G514="",H514=""),"",H514-G514)</f>
        <v/>
      </c>
      <c r="J514" s="4"/>
      <c r="K514" s="4"/>
      <c r="L514" s="18" t="str">
        <f aca="false">IF(F514="","",IF(COUNTIF('DS XE - TAI XE'!$B$6:$B$505,F514)&gt;0,"✓ Có","Chưa có trong DS xe"))</f>
        <v/>
      </c>
    </row>
    <row r="515" customFormat="false" ht="15" hidden="false" customHeight="false" outlineLevel="0" collapsed="false">
      <c r="A515" s="12" t="str">
        <f aca="false">IF(F515="","",COUNTA($F$8:F515))</f>
        <v/>
      </c>
      <c r="B515" s="4"/>
      <c r="C515" s="13"/>
      <c r="D515" s="14"/>
      <c r="E515" s="14"/>
      <c r="F515" s="15"/>
      <c r="G515" s="16"/>
      <c r="H515" s="16"/>
      <c r="I515" s="17" t="str">
        <f aca="false">IF(OR(G515="",H515=""),"",H515-G515)</f>
        <v/>
      </c>
      <c r="J515" s="4"/>
      <c r="K515" s="4"/>
      <c r="L515" s="18" t="str">
        <f aca="false">IF(F515="","",IF(COUNTIF('DS XE - TAI XE'!$B$6:$B$505,F515)&gt;0,"✓ Có","Chưa có trong DS xe"))</f>
        <v/>
      </c>
    </row>
    <row r="516" customFormat="false" ht="15" hidden="false" customHeight="false" outlineLevel="0" collapsed="false">
      <c r="A516" s="12" t="str">
        <f aca="false">IF(F516="","",COUNTA($F$8:F516))</f>
        <v/>
      </c>
      <c r="B516" s="4"/>
      <c r="C516" s="13"/>
      <c r="D516" s="14"/>
      <c r="E516" s="14"/>
      <c r="F516" s="15"/>
      <c r="G516" s="16"/>
      <c r="H516" s="16"/>
      <c r="I516" s="17" t="str">
        <f aca="false">IF(OR(G516="",H516=""),"",H516-G516)</f>
        <v/>
      </c>
      <c r="J516" s="4"/>
      <c r="K516" s="4"/>
      <c r="L516" s="18" t="str">
        <f aca="false">IF(F516="","",IF(COUNTIF('DS XE - TAI XE'!$B$6:$B$505,F516)&gt;0,"✓ Có","Chưa có trong DS xe"))</f>
        <v/>
      </c>
    </row>
    <row r="517" customFormat="false" ht="15" hidden="false" customHeight="false" outlineLevel="0" collapsed="false">
      <c r="A517" s="12" t="str">
        <f aca="false">IF(F517="","",COUNTA($F$8:F517))</f>
        <v/>
      </c>
      <c r="B517" s="4"/>
      <c r="C517" s="13"/>
      <c r="D517" s="14"/>
      <c r="E517" s="14"/>
      <c r="F517" s="15"/>
      <c r="G517" s="16"/>
      <c r="H517" s="16"/>
      <c r="I517" s="17" t="str">
        <f aca="false">IF(OR(G517="",H517=""),"",H517-G517)</f>
        <v/>
      </c>
      <c r="J517" s="4"/>
      <c r="K517" s="4"/>
      <c r="L517" s="18" t="str">
        <f aca="false">IF(F517="","",IF(COUNTIF('DS XE - TAI XE'!$B$6:$B$505,F517)&gt;0,"✓ Có","Chưa có trong DS xe"))</f>
        <v/>
      </c>
    </row>
    <row r="518" customFormat="false" ht="15" hidden="false" customHeight="false" outlineLevel="0" collapsed="false">
      <c r="A518" s="12" t="str">
        <f aca="false">IF(F518="","",COUNTA($F$8:F518))</f>
        <v/>
      </c>
      <c r="B518" s="4"/>
      <c r="C518" s="13"/>
      <c r="D518" s="14"/>
      <c r="E518" s="14"/>
      <c r="F518" s="15"/>
      <c r="G518" s="16"/>
      <c r="H518" s="16"/>
      <c r="I518" s="17" t="str">
        <f aca="false">IF(OR(G518="",H518=""),"",H518-G518)</f>
        <v/>
      </c>
      <c r="J518" s="4"/>
      <c r="K518" s="4"/>
      <c r="L518" s="18" t="str">
        <f aca="false">IF(F518="","",IF(COUNTIF('DS XE - TAI XE'!$B$6:$B$505,F518)&gt;0,"✓ Có","Chưa có trong DS xe"))</f>
        <v/>
      </c>
    </row>
    <row r="519" customFormat="false" ht="15" hidden="false" customHeight="false" outlineLevel="0" collapsed="false">
      <c r="A519" s="12" t="str">
        <f aca="false">IF(F519="","",COUNTA($F$8:F519))</f>
        <v/>
      </c>
      <c r="B519" s="4"/>
      <c r="C519" s="13"/>
      <c r="D519" s="14"/>
      <c r="E519" s="14"/>
      <c r="F519" s="15"/>
      <c r="G519" s="16"/>
      <c r="H519" s="16"/>
      <c r="I519" s="17" t="str">
        <f aca="false">IF(OR(G519="",H519=""),"",H519-G519)</f>
        <v/>
      </c>
      <c r="J519" s="4"/>
      <c r="K519" s="4"/>
      <c r="L519" s="18" t="str">
        <f aca="false">IF(F519="","",IF(COUNTIF('DS XE - TAI XE'!$B$6:$B$505,F519)&gt;0,"✓ Có","Chưa có trong DS xe"))</f>
        <v/>
      </c>
    </row>
    <row r="520" customFormat="false" ht="15" hidden="false" customHeight="false" outlineLevel="0" collapsed="false">
      <c r="A520" s="12" t="str">
        <f aca="false">IF(F520="","",COUNTA($F$8:F520))</f>
        <v/>
      </c>
      <c r="B520" s="4"/>
      <c r="C520" s="13"/>
      <c r="D520" s="14"/>
      <c r="E520" s="14"/>
      <c r="F520" s="15"/>
      <c r="G520" s="16"/>
      <c r="H520" s="16"/>
      <c r="I520" s="17" t="str">
        <f aca="false">IF(OR(G520="",H520=""),"",H520-G520)</f>
        <v/>
      </c>
      <c r="J520" s="4"/>
      <c r="K520" s="4"/>
      <c r="L520" s="18" t="str">
        <f aca="false">IF(F520="","",IF(COUNTIF('DS XE - TAI XE'!$B$6:$B$505,F520)&gt;0,"✓ Có","Chưa có trong DS xe"))</f>
        <v/>
      </c>
    </row>
    <row r="521" customFormat="false" ht="15" hidden="false" customHeight="false" outlineLevel="0" collapsed="false">
      <c r="A521" s="12" t="str">
        <f aca="false">IF(F521="","",COUNTA($F$8:F521))</f>
        <v/>
      </c>
      <c r="B521" s="4"/>
      <c r="C521" s="13"/>
      <c r="D521" s="14"/>
      <c r="E521" s="14"/>
      <c r="F521" s="15"/>
      <c r="G521" s="16"/>
      <c r="H521" s="16"/>
      <c r="I521" s="17" t="str">
        <f aca="false">IF(OR(G521="",H521=""),"",H521-G521)</f>
        <v/>
      </c>
      <c r="J521" s="4"/>
      <c r="K521" s="4"/>
      <c r="L521" s="18" t="str">
        <f aca="false">IF(F521="","",IF(COUNTIF('DS XE - TAI XE'!$B$6:$B$505,F521)&gt;0,"✓ Có","Chưa có trong DS xe"))</f>
        <v/>
      </c>
    </row>
    <row r="522" customFormat="false" ht="15" hidden="false" customHeight="false" outlineLevel="0" collapsed="false">
      <c r="A522" s="12" t="str">
        <f aca="false">IF(F522="","",COUNTA($F$8:F522))</f>
        <v/>
      </c>
      <c r="B522" s="4"/>
      <c r="C522" s="13"/>
      <c r="D522" s="14"/>
      <c r="E522" s="14"/>
      <c r="F522" s="15"/>
      <c r="G522" s="16"/>
      <c r="H522" s="16"/>
      <c r="I522" s="17" t="str">
        <f aca="false">IF(OR(G522="",H522=""),"",H522-G522)</f>
        <v/>
      </c>
      <c r="J522" s="4"/>
      <c r="K522" s="4"/>
      <c r="L522" s="18" t="str">
        <f aca="false">IF(F522="","",IF(COUNTIF('DS XE - TAI XE'!$B$6:$B$505,F522)&gt;0,"✓ Có","Chưa có trong DS xe"))</f>
        <v/>
      </c>
    </row>
    <row r="523" customFormat="false" ht="15" hidden="false" customHeight="false" outlineLevel="0" collapsed="false">
      <c r="A523" s="12" t="str">
        <f aca="false">IF(F523="","",COUNTA($F$8:F523))</f>
        <v/>
      </c>
      <c r="B523" s="4"/>
      <c r="C523" s="13"/>
      <c r="D523" s="14"/>
      <c r="E523" s="14"/>
      <c r="F523" s="15"/>
      <c r="G523" s="16"/>
      <c r="H523" s="16"/>
      <c r="I523" s="17" t="str">
        <f aca="false">IF(OR(G523="",H523=""),"",H523-G523)</f>
        <v/>
      </c>
      <c r="J523" s="4"/>
      <c r="K523" s="4"/>
      <c r="L523" s="18" t="str">
        <f aca="false">IF(F523="","",IF(COUNTIF('DS XE - TAI XE'!$B$6:$B$505,F523)&gt;0,"✓ Có","Chưa có trong DS xe"))</f>
        <v/>
      </c>
    </row>
    <row r="524" customFormat="false" ht="15" hidden="false" customHeight="false" outlineLevel="0" collapsed="false">
      <c r="A524" s="12" t="str">
        <f aca="false">IF(F524="","",COUNTA($F$8:F524))</f>
        <v/>
      </c>
      <c r="B524" s="4"/>
      <c r="C524" s="13"/>
      <c r="D524" s="14"/>
      <c r="E524" s="14"/>
      <c r="F524" s="15"/>
      <c r="G524" s="16"/>
      <c r="H524" s="16"/>
      <c r="I524" s="17" t="str">
        <f aca="false">IF(OR(G524="",H524=""),"",H524-G524)</f>
        <v/>
      </c>
      <c r="J524" s="4"/>
      <c r="K524" s="4"/>
      <c r="L524" s="18" t="str">
        <f aca="false">IF(F524="","",IF(COUNTIF('DS XE - TAI XE'!$B$6:$B$505,F524)&gt;0,"✓ Có","Chưa có trong DS xe"))</f>
        <v/>
      </c>
    </row>
    <row r="525" customFormat="false" ht="15" hidden="false" customHeight="false" outlineLevel="0" collapsed="false">
      <c r="A525" s="12" t="str">
        <f aca="false">IF(F525="","",COUNTA($F$8:F525))</f>
        <v/>
      </c>
      <c r="B525" s="4"/>
      <c r="C525" s="13"/>
      <c r="D525" s="14"/>
      <c r="E525" s="14"/>
      <c r="F525" s="15"/>
      <c r="G525" s="16"/>
      <c r="H525" s="16"/>
      <c r="I525" s="17" t="str">
        <f aca="false">IF(OR(G525="",H525=""),"",H525-G525)</f>
        <v/>
      </c>
      <c r="J525" s="4"/>
      <c r="K525" s="4"/>
      <c r="L525" s="18" t="str">
        <f aca="false">IF(F525="","",IF(COUNTIF('DS XE - TAI XE'!$B$6:$B$505,F525)&gt;0,"✓ Có","Chưa có trong DS xe"))</f>
        <v/>
      </c>
    </row>
    <row r="526" customFormat="false" ht="15" hidden="false" customHeight="false" outlineLevel="0" collapsed="false">
      <c r="A526" s="12" t="str">
        <f aca="false">IF(F526="","",COUNTA($F$8:F526))</f>
        <v/>
      </c>
      <c r="B526" s="4"/>
      <c r="C526" s="13"/>
      <c r="D526" s="14"/>
      <c r="E526" s="14"/>
      <c r="F526" s="15"/>
      <c r="G526" s="16"/>
      <c r="H526" s="16"/>
      <c r="I526" s="17" t="str">
        <f aca="false">IF(OR(G526="",H526=""),"",H526-G526)</f>
        <v/>
      </c>
      <c r="J526" s="4"/>
      <c r="K526" s="4"/>
      <c r="L526" s="18" t="str">
        <f aca="false">IF(F526="","",IF(COUNTIF('DS XE - TAI XE'!$B$6:$B$505,F526)&gt;0,"✓ Có","Chưa có trong DS xe"))</f>
        <v/>
      </c>
    </row>
    <row r="527" customFormat="false" ht="15" hidden="false" customHeight="false" outlineLevel="0" collapsed="false">
      <c r="A527" s="12" t="str">
        <f aca="false">IF(F527="","",COUNTA($F$8:F527))</f>
        <v/>
      </c>
      <c r="B527" s="4"/>
      <c r="C527" s="13"/>
      <c r="D527" s="14"/>
      <c r="E527" s="14"/>
      <c r="F527" s="15"/>
      <c r="G527" s="16"/>
      <c r="H527" s="16"/>
      <c r="I527" s="17" t="str">
        <f aca="false">IF(OR(G527="",H527=""),"",H527-G527)</f>
        <v/>
      </c>
      <c r="J527" s="4"/>
      <c r="K527" s="4"/>
      <c r="L527" s="18" t="str">
        <f aca="false">IF(F527="","",IF(COUNTIF('DS XE - TAI XE'!$B$6:$B$505,F527)&gt;0,"✓ Có","Chưa có trong DS xe"))</f>
        <v/>
      </c>
    </row>
    <row r="528" customFormat="false" ht="15" hidden="false" customHeight="false" outlineLevel="0" collapsed="false">
      <c r="A528" s="12" t="str">
        <f aca="false">IF(F528="","",COUNTA($F$8:F528))</f>
        <v/>
      </c>
      <c r="B528" s="4"/>
      <c r="C528" s="13"/>
      <c r="D528" s="14"/>
      <c r="E528" s="14"/>
      <c r="F528" s="15"/>
      <c r="G528" s="16"/>
      <c r="H528" s="16"/>
      <c r="I528" s="17" t="str">
        <f aca="false">IF(OR(G528="",H528=""),"",H528-G528)</f>
        <v/>
      </c>
      <c r="J528" s="4"/>
      <c r="K528" s="4"/>
      <c r="L528" s="18" t="str">
        <f aca="false">IF(F528="","",IF(COUNTIF('DS XE - TAI XE'!$B$6:$B$505,F528)&gt;0,"✓ Có","Chưa có trong DS xe"))</f>
        <v/>
      </c>
    </row>
    <row r="529" customFormat="false" ht="15" hidden="false" customHeight="false" outlineLevel="0" collapsed="false">
      <c r="A529" s="12" t="str">
        <f aca="false">IF(F529="","",COUNTA($F$8:F529))</f>
        <v/>
      </c>
      <c r="B529" s="4"/>
      <c r="C529" s="13"/>
      <c r="D529" s="14"/>
      <c r="E529" s="14"/>
      <c r="F529" s="15"/>
      <c r="G529" s="16"/>
      <c r="H529" s="16"/>
      <c r="I529" s="17" t="str">
        <f aca="false">IF(OR(G529="",H529=""),"",H529-G529)</f>
        <v/>
      </c>
      <c r="J529" s="4"/>
      <c r="K529" s="4"/>
      <c r="L529" s="18" t="str">
        <f aca="false">IF(F529="","",IF(COUNTIF('DS XE - TAI XE'!$B$6:$B$505,F529)&gt;0,"✓ Có","Chưa có trong DS xe"))</f>
        <v/>
      </c>
    </row>
    <row r="530" customFormat="false" ht="15" hidden="false" customHeight="false" outlineLevel="0" collapsed="false">
      <c r="A530" s="12" t="str">
        <f aca="false">IF(F530="","",COUNTA($F$8:F530))</f>
        <v/>
      </c>
      <c r="B530" s="4"/>
      <c r="C530" s="13"/>
      <c r="D530" s="14"/>
      <c r="E530" s="14"/>
      <c r="F530" s="15"/>
      <c r="G530" s="16"/>
      <c r="H530" s="16"/>
      <c r="I530" s="17" t="str">
        <f aca="false">IF(OR(G530="",H530=""),"",H530-G530)</f>
        <v/>
      </c>
      <c r="J530" s="4"/>
      <c r="K530" s="4"/>
      <c r="L530" s="18" t="str">
        <f aca="false">IF(F530="","",IF(COUNTIF('DS XE - TAI XE'!$B$6:$B$505,F530)&gt;0,"✓ Có","Chưa có trong DS xe"))</f>
        <v/>
      </c>
    </row>
    <row r="531" customFormat="false" ht="15" hidden="false" customHeight="false" outlineLevel="0" collapsed="false">
      <c r="A531" s="12" t="str">
        <f aca="false">IF(F531="","",COUNTA($F$8:F531))</f>
        <v/>
      </c>
      <c r="B531" s="4"/>
      <c r="C531" s="13"/>
      <c r="D531" s="14"/>
      <c r="E531" s="14"/>
      <c r="F531" s="15"/>
      <c r="G531" s="16"/>
      <c r="H531" s="16"/>
      <c r="I531" s="17" t="str">
        <f aca="false">IF(OR(G531="",H531=""),"",H531-G531)</f>
        <v/>
      </c>
      <c r="J531" s="4"/>
      <c r="K531" s="4"/>
      <c r="L531" s="18" t="str">
        <f aca="false">IF(F531="","",IF(COUNTIF('DS XE - TAI XE'!$B$6:$B$505,F531)&gt;0,"✓ Có","Chưa có trong DS xe"))</f>
        <v/>
      </c>
    </row>
    <row r="532" customFormat="false" ht="15" hidden="false" customHeight="false" outlineLevel="0" collapsed="false">
      <c r="A532" s="12" t="str">
        <f aca="false">IF(F532="","",COUNTA($F$8:F532))</f>
        <v/>
      </c>
      <c r="B532" s="4"/>
      <c r="C532" s="13"/>
      <c r="D532" s="14"/>
      <c r="E532" s="14"/>
      <c r="F532" s="15"/>
      <c r="G532" s="16"/>
      <c r="H532" s="16"/>
      <c r="I532" s="17" t="str">
        <f aca="false">IF(OR(G532="",H532=""),"",H532-G532)</f>
        <v/>
      </c>
      <c r="J532" s="4"/>
      <c r="K532" s="4"/>
      <c r="L532" s="18" t="str">
        <f aca="false">IF(F532="","",IF(COUNTIF('DS XE - TAI XE'!$B$6:$B$505,F532)&gt;0,"✓ Có","Chưa có trong DS xe"))</f>
        <v/>
      </c>
    </row>
    <row r="533" customFormat="false" ht="15" hidden="false" customHeight="false" outlineLevel="0" collapsed="false">
      <c r="A533" s="12" t="str">
        <f aca="false">IF(F533="","",COUNTA($F$8:F533))</f>
        <v/>
      </c>
      <c r="B533" s="4"/>
      <c r="C533" s="13"/>
      <c r="D533" s="14"/>
      <c r="E533" s="14"/>
      <c r="F533" s="15"/>
      <c r="G533" s="16"/>
      <c r="H533" s="16"/>
      <c r="I533" s="17" t="str">
        <f aca="false">IF(OR(G533="",H533=""),"",H533-G533)</f>
        <v/>
      </c>
      <c r="J533" s="4"/>
      <c r="K533" s="4"/>
      <c r="L533" s="18" t="str">
        <f aca="false">IF(F533="","",IF(COUNTIF('DS XE - TAI XE'!$B$6:$B$505,F533)&gt;0,"✓ Có","Chưa có trong DS xe"))</f>
        <v/>
      </c>
    </row>
    <row r="534" customFormat="false" ht="15" hidden="false" customHeight="false" outlineLevel="0" collapsed="false">
      <c r="A534" s="12" t="str">
        <f aca="false">IF(F534="","",COUNTA($F$8:F534))</f>
        <v/>
      </c>
      <c r="B534" s="4"/>
      <c r="C534" s="13"/>
      <c r="D534" s="14"/>
      <c r="E534" s="14"/>
      <c r="F534" s="15"/>
      <c r="G534" s="16"/>
      <c r="H534" s="16"/>
      <c r="I534" s="17" t="str">
        <f aca="false">IF(OR(G534="",H534=""),"",H534-G534)</f>
        <v/>
      </c>
      <c r="J534" s="4"/>
      <c r="K534" s="4"/>
      <c r="L534" s="18" t="str">
        <f aca="false">IF(F534="","",IF(COUNTIF('DS XE - TAI XE'!$B$6:$B$505,F534)&gt;0,"✓ Có","Chưa có trong DS xe"))</f>
        <v/>
      </c>
    </row>
    <row r="535" customFormat="false" ht="15" hidden="false" customHeight="false" outlineLevel="0" collapsed="false">
      <c r="A535" s="12" t="str">
        <f aca="false">IF(F535="","",COUNTA($F$8:F535))</f>
        <v/>
      </c>
      <c r="B535" s="4"/>
      <c r="C535" s="13"/>
      <c r="D535" s="14"/>
      <c r="E535" s="14"/>
      <c r="F535" s="15"/>
      <c r="G535" s="16"/>
      <c r="H535" s="16"/>
      <c r="I535" s="17" t="str">
        <f aca="false">IF(OR(G535="",H535=""),"",H535-G535)</f>
        <v/>
      </c>
      <c r="J535" s="4"/>
      <c r="K535" s="4"/>
      <c r="L535" s="18" t="str">
        <f aca="false">IF(F535="","",IF(COUNTIF('DS XE - TAI XE'!$B$6:$B$505,F535)&gt;0,"✓ Có","Chưa có trong DS xe"))</f>
        <v/>
      </c>
    </row>
    <row r="536" customFormat="false" ht="15" hidden="false" customHeight="false" outlineLevel="0" collapsed="false">
      <c r="A536" s="12" t="str">
        <f aca="false">IF(F536="","",COUNTA($F$8:F536))</f>
        <v/>
      </c>
      <c r="B536" s="4"/>
      <c r="C536" s="13"/>
      <c r="D536" s="14"/>
      <c r="E536" s="14"/>
      <c r="F536" s="15"/>
      <c r="G536" s="16"/>
      <c r="H536" s="16"/>
      <c r="I536" s="17" t="str">
        <f aca="false">IF(OR(G536="",H536=""),"",H536-G536)</f>
        <v/>
      </c>
      <c r="J536" s="4"/>
      <c r="K536" s="4"/>
      <c r="L536" s="18" t="str">
        <f aca="false">IF(F536="","",IF(COUNTIF('DS XE - TAI XE'!$B$6:$B$505,F536)&gt;0,"✓ Có","Chưa có trong DS xe"))</f>
        <v/>
      </c>
    </row>
    <row r="537" customFormat="false" ht="15" hidden="false" customHeight="false" outlineLevel="0" collapsed="false">
      <c r="A537" s="12" t="str">
        <f aca="false">IF(F537="","",COUNTA($F$8:F537))</f>
        <v/>
      </c>
      <c r="B537" s="4"/>
      <c r="C537" s="13"/>
      <c r="D537" s="14"/>
      <c r="E537" s="14"/>
      <c r="F537" s="15"/>
      <c r="G537" s="16"/>
      <c r="H537" s="16"/>
      <c r="I537" s="17" t="str">
        <f aca="false">IF(OR(G537="",H537=""),"",H537-G537)</f>
        <v/>
      </c>
      <c r="J537" s="4"/>
      <c r="K537" s="4"/>
      <c r="L537" s="18" t="str">
        <f aca="false">IF(F537="","",IF(COUNTIF('DS XE - TAI XE'!$B$6:$B$505,F537)&gt;0,"✓ Có","Chưa có trong DS xe"))</f>
        <v/>
      </c>
    </row>
    <row r="538" customFormat="false" ht="15" hidden="false" customHeight="false" outlineLevel="0" collapsed="false">
      <c r="A538" s="12" t="str">
        <f aca="false">IF(F538="","",COUNTA($F$8:F538))</f>
        <v/>
      </c>
      <c r="B538" s="4"/>
      <c r="C538" s="13"/>
      <c r="D538" s="14"/>
      <c r="E538" s="14"/>
      <c r="F538" s="15"/>
      <c r="G538" s="16"/>
      <c r="H538" s="16"/>
      <c r="I538" s="17" t="str">
        <f aca="false">IF(OR(G538="",H538=""),"",H538-G538)</f>
        <v/>
      </c>
      <c r="J538" s="4"/>
      <c r="K538" s="4"/>
      <c r="L538" s="18" t="str">
        <f aca="false">IF(F538="","",IF(COUNTIF('DS XE - TAI XE'!$B$6:$B$505,F538)&gt;0,"✓ Có","Chưa có trong DS xe"))</f>
        <v/>
      </c>
    </row>
    <row r="539" customFormat="false" ht="15" hidden="false" customHeight="false" outlineLevel="0" collapsed="false">
      <c r="A539" s="12" t="str">
        <f aca="false">IF(F539="","",COUNTA($F$8:F539))</f>
        <v/>
      </c>
      <c r="B539" s="4"/>
      <c r="C539" s="13"/>
      <c r="D539" s="14"/>
      <c r="E539" s="14"/>
      <c r="F539" s="15"/>
      <c r="G539" s="16"/>
      <c r="H539" s="16"/>
      <c r="I539" s="17" t="str">
        <f aca="false">IF(OR(G539="",H539=""),"",H539-G539)</f>
        <v/>
      </c>
      <c r="J539" s="4"/>
      <c r="K539" s="4"/>
      <c r="L539" s="18" t="str">
        <f aca="false">IF(F539="","",IF(COUNTIF('DS XE - TAI XE'!$B$6:$B$505,F539)&gt;0,"✓ Có","Chưa có trong DS xe"))</f>
        <v/>
      </c>
    </row>
    <row r="540" customFormat="false" ht="15" hidden="false" customHeight="false" outlineLevel="0" collapsed="false">
      <c r="A540" s="12" t="str">
        <f aca="false">IF(F540="","",COUNTA($F$8:F540))</f>
        <v/>
      </c>
      <c r="B540" s="4"/>
      <c r="C540" s="13"/>
      <c r="D540" s="14"/>
      <c r="E540" s="14"/>
      <c r="F540" s="15"/>
      <c r="G540" s="16"/>
      <c r="H540" s="16"/>
      <c r="I540" s="17" t="str">
        <f aca="false">IF(OR(G540="",H540=""),"",H540-G540)</f>
        <v/>
      </c>
      <c r="J540" s="4"/>
      <c r="K540" s="4"/>
      <c r="L540" s="18" t="str">
        <f aca="false">IF(F540="","",IF(COUNTIF('DS XE - TAI XE'!$B$6:$B$505,F540)&gt;0,"✓ Có","Chưa có trong DS xe"))</f>
        <v/>
      </c>
    </row>
    <row r="541" customFormat="false" ht="15" hidden="false" customHeight="false" outlineLevel="0" collapsed="false">
      <c r="A541" s="12" t="str">
        <f aca="false">IF(F541="","",COUNTA($F$8:F541))</f>
        <v/>
      </c>
      <c r="B541" s="4"/>
      <c r="C541" s="13"/>
      <c r="D541" s="14"/>
      <c r="E541" s="14"/>
      <c r="F541" s="15"/>
      <c r="G541" s="16"/>
      <c r="H541" s="16"/>
      <c r="I541" s="17" t="str">
        <f aca="false">IF(OR(G541="",H541=""),"",H541-G541)</f>
        <v/>
      </c>
      <c r="J541" s="4"/>
      <c r="K541" s="4"/>
      <c r="L541" s="18" t="str">
        <f aca="false">IF(F541="","",IF(COUNTIF('DS XE - TAI XE'!$B$6:$B$505,F541)&gt;0,"✓ Có","Chưa có trong DS xe"))</f>
        <v/>
      </c>
    </row>
    <row r="542" customFormat="false" ht="15" hidden="false" customHeight="false" outlineLevel="0" collapsed="false">
      <c r="A542" s="12" t="str">
        <f aca="false">IF(F542="","",COUNTA($F$8:F542))</f>
        <v/>
      </c>
      <c r="B542" s="4"/>
      <c r="C542" s="13"/>
      <c r="D542" s="14"/>
      <c r="E542" s="14"/>
      <c r="F542" s="15"/>
      <c r="G542" s="16"/>
      <c r="H542" s="16"/>
      <c r="I542" s="17" t="str">
        <f aca="false">IF(OR(G542="",H542=""),"",H542-G542)</f>
        <v/>
      </c>
      <c r="J542" s="4"/>
      <c r="K542" s="4"/>
      <c r="L542" s="18" t="str">
        <f aca="false">IF(F542="","",IF(COUNTIF('DS XE - TAI XE'!$B$6:$B$505,F542)&gt;0,"✓ Có","Chưa có trong DS xe"))</f>
        <v/>
      </c>
    </row>
    <row r="543" customFormat="false" ht="15" hidden="false" customHeight="false" outlineLevel="0" collapsed="false">
      <c r="A543" s="12" t="str">
        <f aca="false">IF(F543="","",COUNTA($F$8:F543))</f>
        <v/>
      </c>
      <c r="B543" s="4"/>
      <c r="C543" s="13"/>
      <c r="D543" s="14"/>
      <c r="E543" s="14"/>
      <c r="F543" s="15"/>
      <c r="G543" s="16"/>
      <c r="H543" s="16"/>
      <c r="I543" s="17" t="str">
        <f aca="false">IF(OR(G543="",H543=""),"",H543-G543)</f>
        <v/>
      </c>
      <c r="J543" s="4"/>
      <c r="K543" s="4"/>
      <c r="L543" s="18" t="str">
        <f aca="false">IF(F543="","",IF(COUNTIF('DS XE - TAI XE'!$B$6:$B$505,F543)&gt;0,"✓ Có","Chưa có trong DS xe"))</f>
        <v/>
      </c>
    </row>
    <row r="544" customFormat="false" ht="15" hidden="false" customHeight="false" outlineLevel="0" collapsed="false">
      <c r="A544" s="12" t="str">
        <f aca="false">IF(F544="","",COUNTA($F$8:F544))</f>
        <v/>
      </c>
      <c r="B544" s="4"/>
      <c r="C544" s="13"/>
      <c r="D544" s="14"/>
      <c r="E544" s="14"/>
      <c r="F544" s="15"/>
      <c r="G544" s="16"/>
      <c r="H544" s="16"/>
      <c r="I544" s="17" t="str">
        <f aca="false">IF(OR(G544="",H544=""),"",H544-G544)</f>
        <v/>
      </c>
      <c r="J544" s="4"/>
      <c r="K544" s="4"/>
      <c r="L544" s="18" t="str">
        <f aca="false">IF(F544="","",IF(COUNTIF('DS XE - TAI XE'!$B$6:$B$505,F544)&gt;0,"✓ Có","Chưa có trong DS xe"))</f>
        <v/>
      </c>
    </row>
    <row r="545" customFormat="false" ht="15" hidden="false" customHeight="false" outlineLevel="0" collapsed="false">
      <c r="A545" s="12" t="str">
        <f aca="false">IF(F545="","",COUNTA($F$8:F545))</f>
        <v/>
      </c>
      <c r="B545" s="4"/>
      <c r="C545" s="13"/>
      <c r="D545" s="14"/>
      <c r="E545" s="14"/>
      <c r="F545" s="15"/>
      <c r="G545" s="16"/>
      <c r="H545" s="16"/>
      <c r="I545" s="17" t="str">
        <f aca="false">IF(OR(G545="",H545=""),"",H545-G545)</f>
        <v/>
      </c>
      <c r="J545" s="4"/>
      <c r="K545" s="4"/>
      <c r="L545" s="18" t="str">
        <f aca="false">IF(F545="","",IF(COUNTIF('DS XE - TAI XE'!$B$6:$B$505,F545)&gt;0,"✓ Có","Chưa có trong DS xe"))</f>
        <v/>
      </c>
    </row>
    <row r="546" customFormat="false" ht="15" hidden="false" customHeight="false" outlineLevel="0" collapsed="false">
      <c r="A546" s="12" t="str">
        <f aca="false">IF(F546="","",COUNTA($F$8:F546))</f>
        <v/>
      </c>
      <c r="B546" s="4"/>
      <c r="C546" s="13"/>
      <c r="D546" s="14"/>
      <c r="E546" s="14"/>
      <c r="F546" s="15"/>
      <c r="G546" s="16"/>
      <c r="H546" s="16"/>
      <c r="I546" s="17" t="str">
        <f aca="false">IF(OR(G546="",H546=""),"",H546-G546)</f>
        <v/>
      </c>
      <c r="J546" s="4"/>
      <c r="K546" s="4"/>
      <c r="L546" s="18" t="str">
        <f aca="false">IF(F546="","",IF(COUNTIF('DS XE - TAI XE'!$B$6:$B$505,F546)&gt;0,"✓ Có","Chưa có trong DS xe"))</f>
        <v/>
      </c>
    </row>
    <row r="547" customFormat="false" ht="15" hidden="false" customHeight="false" outlineLevel="0" collapsed="false">
      <c r="A547" s="12" t="str">
        <f aca="false">IF(F547="","",COUNTA($F$8:F547))</f>
        <v/>
      </c>
      <c r="B547" s="4"/>
      <c r="C547" s="13"/>
      <c r="D547" s="14"/>
      <c r="E547" s="14"/>
      <c r="F547" s="15"/>
      <c r="G547" s="16"/>
      <c r="H547" s="16"/>
      <c r="I547" s="17" t="str">
        <f aca="false">IF(OR(G547="",H547=""),"",H547-G547)</f>
        <v/>
      </c>
      <c r="J547" s="4"/>
      <c r="K547" s="4"/>
      <c r="L547" s="18" t="str">
        <f aca="false">IF(F547="","",IF(COUNTIF('DS XE - TAI XE'!$B$6:$B$505,F547)&gt;0,"✓ Có","Chưa có trong DS xe"))</f>
        <v/>
      </c>
    </row>
    <row r="548" customFormat="false" ht="15" hidden="false" customHeight="false" outlineLevel="0" collapsed="false">
      <c r="A548" s="12" t="str">
        <f aca="false">IF(F548="","",COUNTA($F$8:F548))</f>
        <v/>
      </c>
      <c r="B548" s="4"/>
      <c r="C548" s="13"/>
      <c r="D548" s="14"/>
      <c r="E548" s="14"/>
      <c r="F548" s="15"/>
      <c r="G548" s="16"/>
      <c r="H548" s="16"/>
      <c r="I548" s="17" t="str">
        <f aca="false">IF(OR(G548="",H548=""),"",H548-G548)</f>
        <v/>
      </c>
      <c r="J548" s="4"/>
      <c r="K548" s="4"/>
      <c r="L548" s="18" t="str">
        <f aca="false">IF(F548="","",IF(COUNTIF('DS XE - TAI XE'!$B$6:$B$505,F548)&gt;0,"✓ Có","Chưa có trong DS xe"))</f>
        <v/>
      </c>
    </row>
    <row r="549" customFormat="false" ht="15" hidden="false" customHeight="false" outlineLevel="0" collapsed="false">
      <c r="A549" s="12" t="str">
        <f aca="false">IF(F549="","",COUNTA($F$8:F549))</f>
        <v/>
      </c>
      <c r="B549" s="4"/>
      <c r="C549" s="13"/>
      <c r="D549" s="14"/>
      <c r="E549" s="14"/>
      <c r="F549" s="15"/>
      <c r="G549" s="16"/>
      <c r="H549" s="16"/>
      <c r="I549" s="17" t="str">
        <f aca="false">IF(OR(G549="",H549=""),"",H549-G549)</f>
        <v/>
      </c>
      <c r="J549" s="4"/>
      <c r="K549" s="4"/>
      <c r="L549" s="18" t="str">
        <f aca="false">IF(F549="","",IF(COUNTIF('DS XE - TAI XE'!$B$6:$B$505,F549)&gt;0,"✓ Có","Chưa có trong DS xe"))</f>
        <v/>
      </c>
    </row>
    <row r="550" customFormat="false" ht="15" hidden="false" customHeight="false" outlineLevel="0" collapsed="false">
      <c r="A550" s="12" t="str">
        <f aca="false">IF(F550="","",COUNTA($F$8:F550))</f>
        <v/>
      </c>
      <c r="B550" s="4"/>
      <c r="C550" s="13"/>
      <c r="D550" s="14"/>
      <c r="E550" s="14"/>
      <c r="F550" s="15"/>
      <c r="G550" s="16"/>
      <c r="H550" s="16"/>
      <c r="I550" s="17" t="str">
        <f aca="false">IF(OR(G550="",H550=""),"",H550-G550)</f>
        <v/>
      </c>
      <c r="J550" s="4"/>
      <c r="K550" s="4"/>
      <c r="L550" s="18" t="str">
        <f aca="false">IF(F550="","",IF(COUNTIF('DS XE - TAI XE'!$B$6:$B$505,F550)&gt;0,"✓ Có","Chưa có trong DS xe"))</f>
        <v/>
      </c>
    </row>
    <row r="551" customFormat="false" ht="15" hidden="false" customHeight="false" outlineLevel="0" collapsed="false">
      <c r="A551" s="12" t="str">
        <f aca="false">IF(F551="","",COUNTA($F$8:F551))</f>
        <v/>
      </c>
      <c r="B551" s="4"/>
      <c r="C551" s="13"/>
      <c r="D551" s="14"/>
      <c r="E551" s="14"/>
      <c r="F551" s="15"/>
      <c r="G551" s="16"/>
      <c r="H551" s="16"/>
      <c r="I551" s="17" t="str">
        <f aca="false">IF(OR(G551="",H551=""),"",H551-G551)</f>
        <v/>
      </c>
      <c r="J551" s="4"/>
      <c r="K551" s="4"/>
      <c r="L551" s="18" t="str">
        <f aca="false">IF(F551="","",IF(COUNTIF('DS XE - TAI XE'!$B$6:$B$505,F551)&gt;0,"✓ Có","Chưa có trong DS xe"))</f>
        <v/>
      </c>
    </row>
    <row r="552" customFormat="false" ht="15" hidden="false" customHeight="false" outlineLevel="0" collapsed="false">
      <c r="A552" s="12" t="str">
        <f aca="false">IF(F552="","",COUNTA($F$8:F552))</f>
        <v/>
      </c>
      <c r="B552" s="4"/>
      <c r="C552" s="13"/>
      <c r="D552" s="14"/>
      <c r="E552" s="14"/>
      <c r="F552" s="15"/>
      <c r="G552" s="16"/>
      <c r="H552" s="16"/>
      <c r="I552" s="17" t="str">
        <f aca="false">IF(OR(G552="",H552=""),"",H552-G552)</f>
        <v/>
      </c>
      <c r="J552" s="4"/>
      <c r="K552" s="4"/>
      <c r="L552" s="18" t="str">
        <f aca="false">IF(F552="","",IF(COUNTIF('DS XE - TAI XE'!$B$6:$B$505,F552)&gt;0,"✓ Có","Chưa có trong DS xe"))</f>
        <v/>
      </c>
    </row>
    <row r="553" customFormat="false" ht="15" hidden="false" customHeight="false" outlineLevel="0" collapsed="false">
      <c r="A553" s="12" t="str">
        <f aca="false">IF(F553="","",COUNTA($F$8:F553))</f>
        <v/>
      </c>
      <c r="B553" s="4"/>
      <c r="C553" s="13"/>
      <c r="D553" s="14"/>
      <c r="E553" s="14"/>
      <c r="F553" s="15"/>
      <c r="G553" s="16"/>
      <c r="H553" s="16"/>
      <c r="I553" s="17" t="str">
        <f aca="false">IF(OR(G553="",H553=""),"",H553-G553)</f>
        <v/>
      </c>
      <c r="J553" s="4"/>
      <c r="K553" s="4"/>
      <c r="L553" s="18" t="str">
        <f aca="false">IF(F553="","",IF(COUNTIF('DS XE - TAI XE'!$B$6:$B$505,F553)&gt;0,"✓ Có","Chưa có trong DS xe"))</f>
        <v/>
      </c>
    </row>
    <row r="554" customFormat="false" ht="15" hidden="false" customHeight="false" outlineLevel="0" collapsed="false">
      <c r="A554" s="12" t="str">
        <f aca="false">IF(F554="","",COUNTA($F$8:F554))</f>
        <v/>
      </c>
      <c r="B554" s="4"/>
      <c r="C554" s="13"/>
      <c r="D554" s="14"/>
      <c r="E554" s="14"/>
      <c r="F554" s="15"/>
      <c r="G554" s="16"/>
      <c r="H554" s="16"/>
      <c r="I554" s="17" t="str">
        <f aca="false">IF(OR(G554="",H554=""),"",H554-G554)</f>
        <v/>
      </c>
      <c r="J554" s="4"/>
      <c r="K554" s="4"/>
      <c r="L554" s="18" t="str">
        <f aca="false">IF(F554="","",IF(COUNTIF('DS XE - TAI XE'!$B$6:$B$505,F554)&gt;0,"✓ Có","Chưa có trong DS xe"))</f>
        <v/>
      </c>
    </row>
    <row r="555" customFormat="false" ht="15" hidden="false" customHeight="false" outlineLevel="0" collapsed="false">
      <c r="A555" s="12" t="str">
        <f aca="false">IF(F555="","",COUNTA($F$8:F555))</f>
        <v/>
      </c>
      <c r="B555" s="4"/>
      <c r="C555" s="13"/>
      <c r="D555" s="14"/>
      <c r="E555" s="14"/>
      <c r="F555" s="15"/>
      <c r="G555" s="16"/>
      <c r="H555" s="16"/>
      <c r="I555" s="17" t="str">
        <f aca="false">IF(OR(G555="",H555=""),"",H555-G555)</f>
        <v/>
      </c>
      <c r="J555" s="4"/>
      <c r="K555" s="4"/>
      <c r="L555" s="18" t="str">
        <f aca="false">IF(F555="","",IF(COUNTIF('DS XE - TAI XE'!$B$6:$B$505,F555)&gt;0,"✓ Có","Chưa có trong DS xe"))</f>
        <v/>
      </c>
    </row>
    <row r="556" customFormat="false" ht="15" hidden="false" customHeight="false" outlineLevel="0" collapsed="false">
      <c r="A556" s="12" t="str">
        <f aca="false">IF(F556="","",COUNTA($F$8:F556))</f>
        <v/>
      </c>
      <c r="B556" s="4"/>
      <c r="C556" s="13"/>
      <c r="D556" s="14"/>
      <c r="E556" s="14"/>
      <c r="F556" s="15"/>
      <c r="G556" s="16"/>
      <c r="H556" s="16"/>
      <c r="I556" s="17" t="str">
        <f aca="false">IF(OR(G556="",H556=""),"",H556-G556)</f>
        <v/>
      </c>
      <c r="J556" s="4"/>
      <c r="K556" s="4"/>
      <c r="L556" s="18" t="str">
        <f aca="false">IF(F556="","",IF(COUNTIF('DS XE - TAI XE'!$B$6:$B$505,F556)&gt;0,"✓ Có","Chưa có trong DS xe"))</f>
        <v/>
      </c>
    </row>
    <row r="557" customFormat="false" ht="15" hidden="false" customHeight="false" outlineLevel="0" collapsed="false">
      <c r="A557" s="12" t="str">
        <f aca="false">IF(F557="","",COUNTA($F$8:F557))</f>
        <v/>
      </c>
      <c r="B557" s="4"/>
      <c r="C557" s="13"/>
      <c r="D557" s="14"/>
      <c r="E557" s="14"/>
      <c r="F557" s="15"/>
      <c r="G557" s="16"/>
      <c r="H557" s="16"/>
      <c r="I557" s="17" t="str">
        <f aca="false">IF(OR(G557="",H557=""),"",H557-G557)</f>
        <v/>
      </c>
      <c r="J557" s="4"/>
      <c r="K557" s="4"/>
      <c r="L557" s="18" t="str">
        <f aca="false">IF(F557="","",IF(COUNTIF('DS XE - TAI XE'!$B$6:$B$505,F557)&gt;0,"✓ Có","Chưa có trong DS xe"))</f>
        <v/>
      </c>
    </row>
    <row r="558" customFormat="false" ht="15" hidden="false" customHeight="false" outlineLevel="0" collapsed="false">
      <c r="A558" s="12" t="str">
        <f aca="false">IF(F558="","",COUNTA($F$8:F558))</f>
        <v/>
      </c>
      <c r="B558" s="4"/>
      <c r="C558" s="13"/>
      <c r="D558" s="14"/>
      <c r="E558" s="14"/>
      <c r="F558" s="15"/>
      <c r="G558" s="16"/>
      <c r="H558" s="16"/>
      <c r="I558" s="17" t="str">
        <f aca="false">IF(OR(G558="",H558=""),"",H558-G558)</f>
        <v/>
      </c>
      <c r="J558" s="4"/>
      <c r="K558" s="4"/>
      <c r="L558" s="18" t="str">
        <f aca="false">IF(F558="","",IF(COUNTIF('DS XE - TAI XE'!$B$6:$B$505,F558)&gt;0,"✓ Có","Chưa có trong DS xe"))</f>
        <v/>
      </c>
    </row>
    <row r="559" customFormat="false" ht="15" hidden="false" customHeight="false" outlineLevel="0" collapsed="false">
      <c r="A559" s="12" t="str">
        <f aca="false">IF(F559="","",COUNTA($F$8:F559))</f>
        <v/>
      </c>
      <c r="B559" s="4"/>
      <c r="C559" s="13"/>
      <c r="D559" s="14"/>
      <c r="E559" s="14"/>
      <c r="F559" s="15"/>
      <c r="G559" s="16"/>
      <c r="H559" s="16"/>
      <c r="I559" s="17" t="str">
        <f aca="false">IF(OR(G559="",H559=""),"",H559-G559)</f>
        <v/>
      </c>
      <c r="J559" s="4"/>
      <c r="K559" s="4"/>
      <c r="L559" s="18" t="str">
        <f aca="false">IF(F559="","",IF(COUNTIF('DS XE - TAI XE'!$B$6:$B$505,F559)&gt;0,"✓ Có","Chưa có trong DS xe"))</f>
        <v/>
      </c>
    </row>
    <row r="560" customFormat="false" ht="15" hidden="false" customHeight="false" outlineLevel="0" collapsed="false">
      <c r="A560" s="12" t="str">
        <f aca="false">IF(F560="","",COUNTA($F$8:F560))</f>
        <v/>
      </c>
      <c r="B560" s="4"/>
      <c r="C560" s="13"/>
      <c r="D560" s="14"/>
      <c r="E560" s="14"/>
      <c r="F560" s="15"/>
      <c r="G560" s="16"/>
      <c r="H560" s="16"/>
      <c r="I560" s="17" t="str">
        <f aca="false">IF(OR(G560="",H560=""),"",H560-G560)</f>
        <v/>
      </c>
      <c r="J560" s="4"/>
      <c r="K560" s="4"/>
      <c r="L560" s="18" t="str">
        <f aca="false">IF(F560="","",IF(COUNTIF('DS XE - TAI XE'!$B$6:$B$505,F560)&gt;0,"✓ Có","Chưa có trong DS xe"))</f>
        <v/>
      </c>
    </row>
    <row r="561" customFormat="false" ht="15" hidden="false" customHeight="false" outlineLevel="0" collapsed="false">
      <c r="A561" s="12" t="str">
        <f aca="false">IF(F561="","",COUNTA($F$8:F561))</f>
        <v/>
      </c>
      <c r="B561" s="4"/>
      <c r="C561" s="13"/>
      <c r="D561" s="14"/>
      <c r="E561" s="14"/>
      <c r="F561" s="15"/>
      <c r="G561" s="16"/>
      <c r="H561" s="16"/>
      <c r="I561" s="17" t="str">
        <f aca="false">IF(OR(G561="",H561=""),"",H561-G561)</f>
        <v/>
      </c>
      <c r="J561" s="4"/>
      <c r="K561" s="4"/>
      <c r="L561" s="18" t="str">
        <f aca="false">IF(F561="","",IF(COUNTIF('DS XE - TAI XE'!$B$6:$B$505,F561)&gt;0,"✓ Có","Chưa có trong DS xe"))</f>
        <v/>
      </c>
    </row>
    <row r="562" customFormat="false" ht="15" hidden="false" customHeight="false" outlineLevel="0" collapsed="false">
      <c r="A562" s="12" t="str">
        <f aca="false">IF(F562="","",COUNTA($F$8:F562))</f>
        <v/>
      </c>
      <c r="B562" s="4"/>
      <c r="C562" s="13"/>
      <c r="D562" s="14"/>
      <c r="E562" s="14"/>
      <c r="F562" s="15"/>
      <c r="G562" s="16"/>
      <c r="H562" s="16"/>
      <c r="I562" s="17" t="str">
        <f aca="false">IF(OR(G562="",H562=""),"",H562-G562)</f>
        <v/>
      </c>
      <c r="J562" s="4"/>
      <c r="K562" s="4"/>
      <c r="L562" s="18" t="str">
        <f aca="false">IF(F562="","",IF(COUNTIF('DS XE - TAI XE'!$B$6:$B$505,F562)&gt;0,"✓ Có","Chưa có trong DS xe"))</f>
        <v/>
      </c>
    </row>
    <row r="563" customFormat="false" ht="15" hidden="false" customHeight="false" outlineLevel="0" collapsed="false">
      <c r="A563" s="12" t="str">
        <f aca="false">IF(F563="","",COUNTA($F$8:F563))</f>
        <v/>
      </c>
      <c r="B563" s="4"/>
      <c r="C563" s="13"/>
      <c r="D563" s="14"/>
      <c r="E563" s="14"/>
      <c r="F563" s="15"/>
      <c r="G563" s="16"/>
      <c r="H563" s="16"/>
      <c r="I563" s="17" t="str">
        <f aca="false">IF(OR(G563="",H563=""),"",H563-G563)</f>
        <v/>
      </c>
      <c r="J563" s="4"/>
      <c r="K563" s="4"/>
      <c r="L563" s="18" t="str">
        <f aca="false">IF(F563="","",IF(COUNTIF('DS XE - TAI XE'!$B$6:$B$505,F563)&gt;0,"✓ Có","Chưa có trong DS xe"))</f>
        <v/>
      </c>
    </row>
    <row r="564" customFormat="false" ht="15" hidden="false" customHeight="false" outlineLevel="0" collapsed="false">
      <c r="A564" s="12" t="str">
        <f aca="false">IF(F564="","",COUNTA($F$8:F564))</f>
        <v/>
      </c>
      <c r="B564" s="4"/>
      <c r="C564" s="13"/>
      <c r="D564" s="14"/>
      <c r="E564" s="14"/>
      <c r="F564" s="15"/>
      <c r="G564" s="16"/>
      <c r="H564" s="16"/>
      <c r="I564" s="17" t="str">
        <f aca="false">IF(OR(G564="",H564=""),"",H564-G564)</f>
        <v/>
      </c>
      <c r="J564" s="4"/>
      <c r="K564" s="4"/>
      <c r="L564" s="18" t="str">
        <f aca="false">IF(F564="","",IF(COUNTIF('DS XE - TAI XE'!$B$6:$B$505,F564)&gt;0,"✓ Có","Chưa có trong DS xe"))</f>
        <v/>
      </c>
    </row>
    <row r="565" customFormat="false" ht="15" hidden="false" customHeight="false" outlineLevel="0" collapsed="false">
      <c r="A565" s="12" t="str">
        <f aca="false">IF(F565="","",COUNTA($F$8:F565))</f>
        <v/>
      </c>
      <c r="B565" s="4"/>
      <c r="C565" s="13"/>
      <c r="D565" s="14"/>
      <c r="E565" s="14"/>
      <c r="F565" s="15"/>
      <c r="G565" s="16"/>
      <c r="H565" s="16"/>
      <c r="I565" s="17" t="str">
        <f aca="false">IF(OR(G565="",H565=""),"",H565-G565)</f>
        <v/>
      </c>
      <c r="J565" s="4"/>
      <c r="K565" s="4"/>
      <c r="L565" s="18" t="str">
        <f aca="false">IF(F565="","",IF(COUNTIF('DS XE - TAI XE'!$B$6:$B$505,F565)&gt;0,"✓ Có","Chưa có trong DS xe"))</f>
        <v/>
      </c>
    </row>
    <row r="566" customFormat="false" ht="15" hidden="false" customHeight="false" outlineLevel="0" collapsed="false">
      <c r="A566" s="12" t="str">
        <f aca="false">IF(F566="","",COUNTA($F$8:F566))</f>
        <v/>
      </c>
      <c r="B566" s="4"/>
      <c r="C566" s="13"/>
      <c r="D566" s="14"/>
      <c r="E566" s="14"/>
      <c r="F566" s="15"/>
      <c r="G566" s="16"/>
      <c r="H566" s="16"/>
      <c r="I566" s="17" t="str">
        <f aca="false">IF(OR(G566="",H566=""),"",H566-G566)</f>
        <v/>
      </c>
      <c r="J566" s="4"/>
      <c r="K566" s="4"/>
      <c r="L566" s="18" t="str">
        <f aca="false">IF(F566="","",IF(COUNTIF('DS XE - TAI XE'!$B$6:$B$505,F566)&gt;0,"✓ Có","Chưa có trong DS xe"))</f>
        <v/>
      </c>
    </row>
    <row r="567" customFormat="false" ht="15" hidden="false" customHeight="false" outlineLevel="0" collapsed="false">
      <c r="A567" s="12" t="str">
        <f aca="false">IF(F567="","",COUNTA($F$8:F567))</f>
        <v/>
      </c>
      <c r="B567" s="4"/>
      <c r="C567" s="13"/>
      <c r="D567" s="14"/>
      <c r="E567" s="14"/>
      <c r="F567" s="15"/>
      <c r="G567" s="16"/>
      <c r="H567" s="16"/>
      <c r="I567" s="17" t="str">
        <f aca="false">IF(OR(G567="",H567=""),"",H567-G567)</f>
        <v/>
      </c>
      <c r="J567" s="4"/>
      <c r="K567" s="4"/>
      <c r="L567" s="18" t="str">
        <f aca="false">IF(F567="","",IF(COUNTIF('DS XE - TAI XE'!$B$6:$B$505,F567)&gt;0,"✓ Có","Chưa có trong DS xe"))</f>
        <v/>
      </c>
    </row>
    <row r="568" customFormat="false" ht="15" hidden="false" customHeight="false" outlineLevel="0" collapsed="false">
      <c r="A568" s="12" t="str">
        <f aca="false">IF(F568="","",COUNTA($F$8:F568))</f>
        <v/>
      </c>
      <c r="B568" s="4"/>
      <c r="C568" s="13"/>
      <c r="D568" s="14"/>
      <c r="E568" s="14"/>
      <c r="F568" s="15"/>
      <c r="G568" s="16"/>
      <c r="H568" s="16"/>
      <c r="I568" s="17" t="str">
        <f aca="false">IF(OR(G568="",H568=""),"",H568-G568)</f>
        <v/>
      </c>
      <c r="J568" s="4"/>
      <c r="K568" s="4"/>
      <c r="L568" s="18" t="str">
        <f aca="false">IF(F568="","",IF(COUNTIF('DS XE - TAI XE'!$B$6:$B$505,F568)&gt;0,"✓ Có","Chưa có trong DS xe"))</f>
        <v/>
      </c>
    </row>
    <row r="569" customFormat="false" ht="15" hidden="false" customHeight="false" outlineLevel="0" collapsed="false">
      <c r="A569" s="12" t="str">
        <f aca="false">IF(F569="","",COUNTA($F$8:F569))</f>
        <v/>
      </c>
      <c r="B569" s="4"/>
      <c r="C569" s="13"/>
      <c r="D569" s="14"/>
      <c r="E569" s="14"/>
      <c r="F569" s="15"/>
      <c r="G569" s="16"/>
      <c r="H569" s="16"/>
      <c r="I569" s="17" t="str">
        <f aca="false">IF(OR(G569="",H569=""),"",H569-G569)</f>
        <v/>
      </c>
      <c r="J569" s="4"/>
      <c r="K569" s="4"/>
      <c r="L569" s="18" t="str">
        <f aca="false">IF(F569="","",IF(COUNTIF('DS XE - TAI XE'!$B$6:$B$505,F569)&gt;0,"✓ Có","Chưa có trong DS xe"))</f>
        <v/>
      </c>
    </row>
    <row r="570" customFormat="false" ht="15" hidden="false" customHeight="false" outlineLevel="0" collapsed="false">
      <c r="A570" s="12" t="str">
        <f aca="false">IF(F570="","",COUNTA($F$8:F570))</f>
        <v/>
      </c>
      <c r="B570" s="4"/>
      <c r="C570" s="13"/>
      <c r="D570" s="14"/>
      <c r="E570" s="14"/>
      <c r="F570" s="15"/>
      <c r="G570" s="16"/>
      <c r="H570" s="16"/>
      <c r="I570" s="17" t="str">
        <f aca="false">IF(OR(G570="",H570=""),"",H570-G570)</f>
        <v/>
      </c>
      <c r="J570" s="4"/>
      <c r="K570" s="4"/>
      <c r="L570" s="18" t="str">
        <f aca="false">IF(F570="","",IF(COUNTIF('DS XE - TAI XE'!$B$6:$B$505,F570)&gt;0,"✓ Có","Chưa có trong DS xe"))</f>
        <v/>
      </c>
    </row>
    <row r="571" customFormat="false" ht="15" hidden="false" customHeight="false" outlineLevel="0" collapsed="false">
      <c r="A571" s="12" t="str">
        <f aca="false">IF(F571="","",COUNTA($F$8:F571))</f>
        <v/>
      </c>
      <c r="B571" s="4"/>
      <c r="C571" s="13"/>
      <c r="D571" s="14"/>
      <c r="E571" s="14"/>
      <c r="F571" s="15"/>
      <c r="G571" s="16"/>
      <c r="H571" s="16"/>
      <c r="I571" s="17" t="str">
        <f aca="false">IF(OR(G571="",H571=""),"",H571-G571)</f>
        <v/>
      </c>
      <c r="J571" s="4"/>
      <c r="K571" s="4"/>
      <c r="L571" s="18" t="str">
        <f aca="false">IF(F571="","",IF(COUNTIF('DS XE - TAI XE'!$B$6:$B$505,F571)&gt;0,"✓ Có","Chưa có trong DS xe"))</f>
        <v/>
      </c>
    </row>
    <row r="572" customFormat="false" ht="15" hidden="false" customHeight="false" outlineLevel="0" collapsed="false">
      <c r="A572" s="12" t="str">
        <f aca="false">IF(F572="","",COUNTA($F$8:F572))</f>
        <v/>
      </c>
      <c r="B572" s="4"/>
      <c r="C572" s="13"/>
      <c r="D572" s="14"/>
      <c r="E572" s="14"/>
      <c r="F572" s="15"/>
      <c r="G572" s="16"/>
      <c r="H572" s="16"/>
      <c r="I572" s="17" t="str">
        <f aca="false">IF(OR(G572="",H572=""),"",H572-G572)</f>
        <v/>
      </c>
      <c r="J572" s="4"/>
      <c r="K572" s="4"/>
      <c r="L572" s="18" t="str">
        <f aca="false">IF(F572="","",IF(COUNTIF('DS XE - TAI XE'!$B$6:$B$505,F572)&gt;0,"✓ Có","Chưa có trong DS xe"))</f>
        <v/>
      </c>
    </row>
    <row r="573" customFormat="false" ht="15" hidden="false" customHeight="false" outlineLevel="0" collapsed="false">
      <c r="A573" s="12" t="str">
        <f aca="false">IF(F573="","",COUNTA($F$8:F573))</f>
        <v/>
      </c>
      <c r="B573" s="4"/>
      <c r="C573" s="13"/>
      <c r="D573" s="14"/>
      <c r="E573" s="14"/>
      <c r="F573" s="15"/>
      <c r="G573" s="16"/>
      <c r="H573" s="16"/>
      <c r="I573" s="17" t="str">
        <f aca="false">IF(OR(G573="",H573=""),"",H573-G573)</f>
        <v/>
      </c>
      <c r="J573" s="4"/>
      <c r="K573" s="4"/>
      <c r="L573" s="18" t="str">
        <f aca="false">IF(F573="","",IF(COUNTIF('DS XE - TAI XE'!$B$6:$B$505,F573)&gt;0,"✓ Có","Chưa có trong DS xe"))</f>
        <v/>
      </c>
    </row>
    <row r="574" customFormat="false" ht="15" hidden="false" customHeight="false" outlineLevel="0" collapsed="false">
      <c r="A574" s="12" t="str">
        <f aca="false">IF(F574="","",COUNTA($F$8:F574))</f>
        <v/>
      </c>
      <c r="B574" s="4"/>
      <c r="C574" s="13"/>
      <c r="D574" s="14"/>
      <c r="E574" s="14"/>
      <c r="F574" s="15"/>
      <c r="G574" s="16"/>
      <c r="H574" s="16"/>
      <c r="I574" s="17" t="str">
        <f aca="false">IF(OR(G574="",H574=""),"",H574-G574)</f>
        <v/>
      </c>
      <c r="J574" s="4"/>
      <c r="K574" s="4"/>
      <c r="L574" s="18" t="str">
        <f aca="false">IF(F574="","",IF(COUNTIF('DS XE - TAI XE'!$B$6:$B$505,F574)&gt;0,"✓ Có","Chưa có trong DS xe"))</f>
        <v/>
      </c>
    </row>
    <row r="575" customFormat="false" ht="15" hidden="false" customHeight="false" outlineLevel="0" collapsed="false">
      <c r="A575" s="12" t="str">
        <f aca="false">IF(F575="","",COUNTA($F$8:F575))</f>
        <v/>
      </c>
      <c r="B575" s="4"/>
      <c r="C575" s="13"/>
      <c r="D575" s="14"/>
      <c r="E575" s="14"/>
      <c r="F575" s="15"/>
      <c r="G575" s="16"/>
      <c r="H575" s="16"/>
      <c r="I575" s="17" t="str">
        <f aca="false">IF(OR(G575="",H575=""),"",H575-G575)</f>
        <v/>
      </c>
      <c r="J575" s="4"/>
      <c r="K575" s="4"/>
      <c r="L575" s="18" t="str">
        <f aca="false">IF(F575="","",IF(COUNTIF('DS XE - TAI XE'!$B$6:$B$505,F575)&gt;0,"✓ Có","Chưa có trong DS xe"))</f>
        <v/>
      </c>
    </row>
    <row r="576" customFormat="false" ht="15" hidden="false" customHeight="false" outlineLevel="0" collapsed="false">
      <c r="A576" s="12" t="str">
        <f aca="false">IF(F576="","",COUNTA($F$8:F576))</f>
        <v/>
      </c>
      <c r="B576" s="4"/>
      <c r="C576" s="13"/>
      <c r="D576" s="14"/>
      <c r="E576" s="14"/>
      <c r="F576" s="15"/>
      <c r="G576" s="16"/>
      <c r="H576" s="16"/>
      <c r="I576" s="17" t="str">
        <f aca="false">IF(OR(G576="",H576=""),"",H576-G576)</f>
        <v/>
      </c>
      <c r="J576" s="4"/>
      <c r="K576" s="4"/>
      <c r="L576" s="18" t="str">
        <f aca="false">IF(F576="","",IF(COUNTIF('DS XE - TAI XE'!$B$6:$B$505,F576)&gt;0,"✓ Có","Chưa có trong DS xe"))</f>
        <v/>
      </c>
    </row>
    <row r="577" customFormat="false" ht="15" hidden="false" customHeight="false" outlineLevel="0" collapsed="false">
      <c r="A577" s="12" t="str">
        <f aca="false">IF(F577="","",COUNTA($F$8:F577))</f>
        <v/>
      </c>
      <c r="B577" s="4"/>
      <c r="C577" s="13"/>
      <c r="D577" s="14"/>
      <c r="E577" s="14"/>
      <c r="F577" s="15"/>
      <c r="G577" s="16"/>
      <c r="H577" s="16"/>
      <c r="I577" s="17" t="str">
        <f aca="false">IF(OR(G577="",H577=""),"",H577-G577)</f>
        <v/>
      </c>
      <c r="J577" s="4"/>
      <c r="K577" s="4"/>
      <c r="L577" s="18" t="str">
        <f aca="false">IF(F577="","",IF(COUNTIF('DS XE - TAI XE'!$B$6:$B$505,F577)&gt;0,"✓ Có","Chưa có trong DS xe"))</f>
        <v/>
      </c>
    </row>
    <row r="578" customFormat="false" ht="15" hidden="false" customHeight="false" outlineLevel="0" collapsed="false">
      <c r="A578" s="12" t="str">
        <f aca="false">IF(F578="","",COUNTA($F$8:F578))</f>
        <v/>
      </c>
      <c r="B578" s="4"/>
      <c r="C578" s="13"/>
      <c r="D578" s="14"/>
      <c r="E578" s="14"/>
      <c r="F578" s="15"/>
      <c r="G578" s="16"/>
      <c r="H578" s="16"/>
      <c r="I578" s="17" t="str">
        <f aca="false">IF(OR(G578="",H578=""),"",H578-G578)</f>
        <v/>
      </c>
      <c r="J578" s="4"/>
      <c r="K578" s="4"/>
      <c r="L578" s="18" t="str">
        <f aca="false">IF(F578="","",IF(COUNTIF('DS XE - TAI XE'!$B$6:$B$505,F578)&gt;0,"✓ Có","Chưa có trong DS xe"))</f>
        <v/>
      </c>
    </row>
    <row r="579" customFormat="false" ht="15" hidden="false" customHeight="false" outlineLevel="0" collapsed="false">
      <c r="A579" s="12" t="str">
        <f aca="false">IF(F579="","",COUNTA($F$8:F579))</f>
        <v/>
      </c>
      <c r="B579" s="4"/>
      <c r="C579" s="13"/>
      <c r="D579" s="14"/>
      <c r="E579" s="14"/>
      <c r="F579" s="15"/>
      <c r="G579" s="16"/>
      <c r="H579" s="16"/>
      <c r="I579" s="17" t="str">
        <f aca="false">IF(OR(G579="",H579=""),"",H579-G579)</f>
        <v/>
      </c>
      <c r="J579" s="4"/>
      <c r="K579" s="4"/>
      <c r="L579" s="18" t="str">
        <f aca="false">IF(F579="","",IF(COUNTIF('DS XE - TAI XE'!$B$6:$B$505,F579)&gt;0,"✓ Có","Chưa có trong DS xe"))</f>
        <v/>
      </c>
    </row>
    <row r="580" customFormat="false" ht="15" hidden="false" customHeight="false" outlineLevel="0" collapsed="false">
      <c r="A580" s="12" t="str">
        <f aca="false">IF(F580="","",COUNTA($F$8:F580))</f>
        <v/>
      </c>
      <c r="B580" s="4"/>
      <c r="C580" s="13"/>
      <c r="D580" s="14"/>
      <c r="E580" s="14"/>
      <c r="F580" s="15"/>
      <c r="G580" s="16"/>
      <c r="H580" s="16"/>
      <c r="I580" s="17" t="str">
        <f aca="false">IF(OR(G580="",H580=""),"",H580-G580)</f>
        <v/>
      </c>
      <c r="J580" s="4"/>
      <c r="K580" s="4"/>
      <c r="L580" s="18" t="str">
        <f aca="false">IF(F580="","",IF(COUNTIF('DS XE - TAI XE'!$B$6:$B$505,F580)&gt;0,"✓ Có","Chưa có trong DS xe"))</f>
        <v/>
      </c>
    </row>
    <row r="581" customFormat="false" ht="15" hidden="false" customHeight="false" outlineLevel="0" collapsed="false">
      <c r="A581" s="12" t="str">
        <f aca="false">IF(F581="","",COUNTA($F$8:F581))</f>
        <v/>
      </c>
      <c r="B581" s="4"/>
      <c r="C581" s="13"/>
      <c r="D581" s="14"/>
      <c r="E581" s="14"/>
      <c r="F581" s="15"/>
      <c r="G581" s="16"/>
      <c r="H581" s="16"/>
      <c r="I581" s="17" t="str">
        <f aca="false">IF(OR(G581="",H581=""),"",H581-G581)</f>
        <v/>
      </c>
      <c r="J581" s="4"/>
      <c r="K581" s="4"/>
      <c r="L581" s="18" t="str">
        <f aca="false">IF(F581="","",IF(COUNTIF('DS XE - TAI XE'!$B$6:$B$505,F581)&gt;0,"✓ Có","Chưa có trong DS xe"))</f>
        <v/>
      </c>
    </row>
    <row r="582" customFormat="false" ht="15" hidden="false" customHeight="false" outlineLevel="0" collapsed="false">
      <c r="A582" s="12" t="str">
        <f aca="false">IF(F582="","",COUNTA($F$8:F582))</f>
        <v/>
      </c>
      <c r="B582" s="4"/>
      <c r="C582" s="13"/>
      <c r="D582" s="14"/>
      <c r="E582" s="14"/>
      <c r="F582" s="15"/>
      <c r="G582" s="16"/>
      <c r="H582" s="16"/>
      <c r="I582" s="17" t="str">
        <f aca="false">IF(OR(G582="",H582=""),"",H582-G582)</f>
        <v/>
      </c>
      <c r="J582" s="4"/>
      <c r="K582" s="4"/>
      <c r="L582" s="18" t="str">
        <f aca="false">IF(F582="","",IF(COUNTIF('DS XE - TAI XE'!$B$6:$B$505,F582)&gt;0,"✓ Có","Chưa có trong DS xe"))</f>
        <v/>
      </c>
    </row>
    <row r="583" customFormat="false" ht="15" hidden="false" customHeight="false" outlineLevel="0" collapsed="false">
      <c r="A583" s="12" t="str">
        <f aca="false">IF(F583="","",COUNTA($F$8:F583))</f>
        <v/>
      </c>
      <c r="B583" s="4"/>
      <c r="C583" s="13"/>
      <c r="D583" s="14"/>
      <c r="E583" s="14"/>
      <c r="F583" s="15"/>
      <c r="G583" s="16"/>
      <c r="H583" s="16"/>
      <c r="I583" s="17" t="str">
        <f aca="false">IF(OR(G583="",H583=""),"",H583-G583)</f>
        <v/>
      </c>
      <c r="J583" s="4"/>
      <c r="K583" s="4"/>
      <c r="L583" s="18" t="str">
        <f aca="false">IF(F583="","",IF(COUNTIF('DS XE - TAI XE'!$B$6:$B$505,F583)&gt;0,"✓ Có","Chưa có trong DS xe"))</f>
        <v/>
      </c>
    </row>
    <row r="584" customFormat="false" ht="15" hidden="false" customHeight="false" outlineLevel="0" collapsed="false">
      <c r="A584" s="12" t="str">
        <f aca="false">IF(F584="","",COUNTA($F$8:F584))</f>
        <v/>
      </c>
      <c r="B584" s="4"/>
      <c r="C584" s="13"/>
      <c r="D584" s="14"/>
      <c r="E584" s="14"/>
      <c r="F584" s="15"/>
      <c r="G584" s="16"/>
      <c r="H584" s="16"/>
      <c r="I584" s="17" t="str">
        <f aca="false">IF(OR(G584="",H584=""),"",H584-G584)</f>
        <v/>
      </c>
      <c r="J584" s="4"/>
      <c r="K584" s="4"/>
      <c r="L584" s="18" t="str">
        <f aca="false">IF(F584="","",IF(COUNTIF('DS XE - TAI XE'!$B$6:$B$505,F584)&gt;0,"✓ Có","Chưa có trong DS xe"))</f>
        <v/>
      </c>
    </row>
    <row r="585" customFormat="false" ht="15" hidden="false" customHeight="false" outlineLevel="0" collapsed="false">
      <c r="A585" s="12" t="str">
        <f aca="false">IF(F585="","",COUNTA($F$8:F585))</f>
        <v/>
      </c>
      <c r="B585" s="4"/>
      <c r="C585" s="13"/>
      <c r="D585" s="14"/>
      <c r="E585" s="14"/>
      <c r="F585" s="15"/>
      <c r="G585" s="16"/>
      <c r="H585" s="16"/>
      <c r="I585" s="17" t="str">
        <f aca="false">IF(OR(G585="",H585=""),"",H585-G585)</f>
        <v/>
      </c>
      <c r="J585" s="4"/>
      <c r="K585" s="4"/>
      <c r="L585" s="18" t="str">
        <f aca="false">IF(F585="","",IF(COUNTIF('DS XE - TAI XE'!$B$6:$B$505,F585)&gt;0,"✓ Có","Chưa có trong DS xe"))</f>
        <v/>
      </c>
    </row>
    <row r="586" customFormat="false" ht="15" hidden="false" customHeight="false" outlineLevel="0" collapsed="false">
      <c r="A586" s="12" t="str">
        <f aca="false">IF(F586="","",COUNTA($F$8:F586))</f>
        <v/>
      </c>
      <c r="B586" s="4"/>
      <c r="C586" s="13"/>
      <c r="D586" s="14"/>
      <c r="E586" s="14"/>
      <c r="F586" s="15"/>
      <c r="G586" s="16"/>
      <c r="H586" s="16"/>
      <c r="I586" s="17" t="str">
        <f aca="false">IF(OR(G586="",H586=""),"",H586-G586)</f>
        <v/>
      </c>
      <c r="J586" s="4"/>
      <c r="K586" s="4"/>
      <c r="L586" s="18" t="str">
        <f aca="false">IF(F586="","",IF(COUNTIF('DS XE - TAI XE'!$B$6:$B$505,F586)&gt;0,"✓ Có","Chưa có trong DS xe"))</f>
        <v/>
      </c>
    </row>
    <row r="587" customFormat="false" ht="15" hidden="false" customHeight="false" outlineLevel="0" collapsed="false">
      <c r="A587" s="12" t="str">
        <f aca="false">IF(F587="","",COUNTA($F$8:F587))</f>
        <v/>
      </c>
      <c r="B587" s="4"/>
      <c r="C587" s="13"/>
      <c r="D587" s="14"/>
      <c r="E587" s="14"/>
      <c r="F587" s="15"/>
      <c r="G587" s="16"/>
      <c r="H587" s="16"/>
      <c r="I587" s="17" t="str">
        <f aca="false">IF(OR(G587="",H587=""),"",H587-G587)</f>
        <v/>
      </c>
      <c r="J587" s="4"/>
      <c r="K587" s="4"/>
      <c r="L587" s="18" t="str">
        <f aca="false">IF(F587="","",IF(COUNTIF('DS XE - TAI XE'!$B$6:$B$505,F587)&gt;0,"✓ Có","Chưa có trong DS xe"))</f>
        <v/>
      </c>
    </row>
    <row r="588" customFormat="false" ht="15" hidden="false" customHeight="false" outlineLevel="0" collapsed="false">
      <c r="A588" s="12" t="str">
        <f aca="false">IF(F588="","",COUNTA($F$8:F588))</f>
        <v/>
      </c>
      <c r="B588" s="4"/>
      <c r="C588" s="13"/>
      <c r="D588" s="14"/>
      <c r="E588" s="14"/>
      <c r="F588" s="15"/>
      <c r="G588" s="16"/>
      <c r="H588" s="16"/>
      <c r="I588" s="17" t="str">
        <f aca="false">IF(OR(G588="",H588=""),"",H588-G588)</f>
        <v/>
      </c>
      <c r="J588" s="4"/>
      <c r="K588" s="4"/>
      <c r="L588" s="18" t="str">
        <f aca="false">IF(F588="","",IF(COUNTIF('DS XE - TAI XE'!$B$6:$B$505,F588)&gt;0,"✓ Có","Chưa có trong DS xe"))</f>
        <v/>
      </c>
    </row>
    <row r="589" customFormat="false" ht="15" hidden="false" customHeight="false" outlineLevel="0" collapsed="false">
      <c r="A589" s="12" t="str">
        <f aca="false">IF(F589="","",COUNTA($F$8:F589))</f>
        <v/>
      </c>
      <c r="B589" s="4"/>
      <c r="C589" s="13"/>
      <c r="D589" s="14"/>
      <c r="E589" s="14"/>
      <c r="F589" s="15"/>
      <c r="G589" s="16"/>
      <c r="H589" s="16"/>
      <c r="I589" s="17" t="str">
        <f aca="false">IF(OR(G589="",H589=""),"",H589-G589)</f>
        <v/>
      </c>
      <c r="J589" s="4"/>
      <c r="K589" s="4"/>
      <c r="L589" s="18" t="str">
        <f aca="false">IF(F589="","",IF(COUNTIF('DS XE - TAI XE'!$B$6:$B$505,F589)&gt;0,"✓ Có","Chưa có trong DS xe"))</f>
        <v/>
      </c>
    </row>
    <row r="590" customFormat="false" ht="15" hidden="false" customHeight="false" outlineLevel="0" collapsed="false">
      <c r="A590" s="12" t="str">
        <f aca="false">IF(F590="","",COUNTA($F$8:F590))</f>
        <v/>
      </c>
      <c r="B590" s="4"/>
      <c r="C590" s="13"/>
      <c r="D590" s="14"/>
      <c r="E590" s="14"/>
      <c r="F590" s="15"/>
      <c r="G590" s="16"/>
      <c r="H590" s="16"/>
      <c r="I590" s="17" t="str">
        <f aca="false">IF(OR(G590="",H590=""),"",H590-G590)</f>
        <v/>
      </c>
      <c r="J590" s="4"/>
      <c r="K590" s="4"/>
      <c r="L590" s="18" t="str">
        <f aca="false">IF(F590="","",IF(COUNTIF('DS XE - TAI XE'!$B$6:$B$505,F590)&gt;0,"✓ Có","Chưa có trong DS xe"))</f>
        <v/>
      </c>
    </row>
    <row r="591" customFormat="false" ht="15" hidden="false" customHeight="false" outlineLevel="0" collapsed="false">
      <c r="A591" s="12" t="str">
        <f aca="false">IF(F591="","",COUNTA($F$8:F591))</f>
        <v/>
      </c>
      <c r="B591" s="4"/>
      <c r="C591" s="13"/>
      <c r="D591" s="14"/>
      <c r="E591" s="14"/>
      <c r="F591" s="15"/>
      <c r="G591" s="16"/>
      <c r="H591" s="16"/>
      <c r="I591" s="17" t="str">
        <f aca="false">IF(OR(G591="",H591=""),"",H591-G591)</f>
        <v/>
      </c>
      <c r="J591" s="4"/>
      <c r="K591" s="4"/>
      <c r="L591" s="18" t="str">
        <f aca="false">IF(F591="","",IF(COUNTIF('DS XE - TAI XE'!$B$6:$B$505,F591)&gt;0,"✓ Có","Chưa có trong DS xe"))</f>
        <v/>
      </c>
    </row>
    <row r="592" customFormat="false" ht="15" hidden="false" customHeight="false" outlineLevel="0" collapsed="false">
      <c r="A592" s="12" t="str">
        <f aca="false">IF(F592="","",COUNTA($F$8:F592))</f>
        <v/>
      </c>
      <c r="B592" s="4"/>
      <c r="C592" s="13"/>
      <c r="D592" s="14"/>
      <c r="E592" s="14"/>
      <c r="F592" s="15"/>
      <c r="G592" s="16"/>
      <c r="H592" s="16"/>
      <c r="I592" s="17" t="str">
        <f aca="false">IF(OR(G592="",H592=""),"",H592-G592)</f>
        <v/>
      </c>
      <c r="J592" s="4"/>
      <c r="K592" s="4"/>
      <c r="L592" s="18" t="str">
        <f aca="false">IF(F592="","",IF(COUNTIF('DS XE - TAI XE'!$B$6:$B$505,F592)&gt;0,"✓ Có","Chưa có trong DS xe"))</f>
        <v/>
      </c>
    </row>
    <row r="593" customFormat="false" ht="15" hidden="false" customHeight="false" outlineLevel="0" collapsed="false">
      <c r="A593" s="12" t="str">
        <f aca="false">IF(F593="","",COUNTA($F$8:F593))</f>
        <v/>
      </c>
      <c r="B593" s="4"/>
      <c r="C593" s="13"/>
      <c r="D593" s="14"/>
      <c r="E593" s="14"/>
      <c r="F593" s="15"/>
      <c r="G593" s="16"/>
      <c r="H593" s="16"/>
      <c r="I593" s="17" t="str">
        <f aca="false">IF(OR(G593="",H593=""),"",H593-G593)</f>
        <v/>
      </c>
      <c r="J593" s="4"/>
      <c r="K593" s="4"/>
      <c r="L593" s="18" t="str">
        <f aca="false">IF(F593="","",IF(COUNTIF('DS XE - TAI XE'!$B$6:$B$505,F593)&gt;0,"✓ Có","Chưa có trong DS xe"))</f>
        <v/>
      </c>
    </row>
    <row r="594" customFormat="false" ht="15" hidden="false" customHeight="false" outlineLevel="0" collapsed="false">
      <c r="A594" s="12" t="str">
        <f aca="false">IF(F594="","",COUNTA($F$8:F594))</f>
        <v/>
      </c>
      <c r="B594" s="4"/>
      <c r="C594" s="13"/>
      <c r="D594" s="14"/>
      <c r="E594" s="14"/>
      <c r="F594" s="15"/>
      <c r="G594" s="16"/>
      <c r="H594" s="16"/>
      <c r="I594" s="17" t="str">
        <f aca="false">IF(OR(G594="",H594=""),"",H594-G594)</f>
        <v/>
      </c>
      <c r="J594" s="4"/>
      <c r="K594" s="4"/>
      <c r="L594" s="18" t="str">
        <f aca="false">IF(F594="","",IF(COUNTIF('DS XE - TAI XE'!$B$6:$B$505,F594)&gt;0,"✓ Có","Chưa có trong DS xe"))</f>
        <v/>
      </c>
    </row>
    <row r="595" customFormat="false" ht="15" hidden="false" customHeight="false" outlineLevel="0" collapsed="false">
      <c r="A595" s="12" t="str">
        <f aca="false">IF(F595="","",COUNTA($F$8:F595))</f>
        <v/>
      </c>
      <c r="B595" s="4"/>
      <c r="C595" s="13"/>
      <c r="D595" s="14"/>
      <c r="E595" s="14"/>
      <c r="F595" s="15"/>
      <c r="G595" s="16"/>
      <c r="H595" s="16"/>
      <c r="I595" s="17" t="str">
        <f aca="false">IF(OR(G595="",H595=""),"",H595-G595)</f>
        <v/>
      </c>
      <c r="J595" s="4"/>
      <c r="K595" s="4"/>
      <c r="L595" s="18" t="str">
        <f aca="false">IF(F595="","",IF(COUNTIF('DS XE - TAI XE'!$B$6:$B$505,F595)&gt;0,"✓ Có","Chưa có trong DS xe"))</f>
        <v/>
      </c>
    </row>
    <row r="596" customFormat="false" ht="15" hidden="false" customHeight="false" outlineLevel="0" collapsed="false">
      <c r="A596" s="12" t="str">
        <f aca="false">IF(F596="","",COUNTA($F$8:F596))</f>
        <v/>
      </c>
      <c r="B596" s="4"/>
      <c r="C596" s="13"/>
      <c r="D596" s="14"/>
      <c r="E596" s="14"/>
      <c r="F596" s="15"/>
      <c r="G596" s="16"/>
      <c r="H596" s="16"/>
      <c r="I596" s="17" t="str">
        <f aca="false">IF(OR(G596="",H596=""),"",H596-G596)</f>
        <v/>
      </c>
      <c r="J596" s="4"/>
      <c r="K596" s="4"/>
      <c r="L596" s="18" t="str">
        <f aca="false">IF(F596="","",IF(COUNTIF('DS XE - TAI XE'!$B$6:$B$505,F596)&gt;0,"✓ Có","Chưa có trong DS xe"))</f>
        <v/>
      </c>
    </row>
    <row r="597" customFormat="false" ht="15" hidden="false" customHeight="false" outlineLevel="0" collapsed="false">
      <c r="A597" s="12" t="str">
        <f aca="false">IF(F597="","",COUNTA($F$8:F597))</f>
        <v/>
      </c>
      <c r="B597" s="4"/>
      <c r="C597" s="13"/>
      <c r="D597" s="14"/>
      <c r="E597" s="14"/>
      <c r="F597" s="15"/>
      <c r="G597" s="16"/>
      <c r="H597" s="16"/>
      <c r="I597" s="17" t="str">
        <f aca="false">IF(OR(G597="",H597=""),"",H597-G597)</f>
        <v/>
      </c>
      <c r="J597" s="4"/>
      <c r="K597" s="4"/>
      <c r="L597" s="18" t="str">
        <f aca="false">IF(F597="","",IF(COUNTIF('DS XE - TAI XE'!$B$6:$B$505,F597)&gt;0,"✓ Có","Chưa có trong DS xe"))</f>
        <v/>
      </c>
    </row>
    <row r="598" customFormat="false" ht="15" hidden="false" customHeight="false" outlineLevel="0" collapsed="false">
      <c r="A598" s="12" t="str">
        <f aca="false">IF(F598="","",COUNTA($F$8:F598))</f>
        <v/>
      </c>
      <c r="B598" s="4"/>
      <c r="C598" s="13"/>
      <c r="D598" s="14"/>
      <c r="E598" s="14"/>
      <c r="F598" s="15"/>
      <c r="G598" s="16"/>
      <c r="H598" s="16"/>
      <c r="I598" s="17" t="str">
        <f aca="false">IF(OR(G598="",H598=""),"",H598-G598)</f>
        <v/>
      </c>
      <c r="J598" s="4"/>
      <c r="K598" s="4"/>
      <c r="L598" s="18" t="str">
        <f aca="false">IF(F598="","",IF(COUNTIF('DS XE - TAI XE'!$B$6:$B$505,F598)&gt;0,"✓ Có","Chưa có trong DS xe"))</f>
        <v/>
      </c>
    </row>
    <row r="599" customFormat="false" ht="15" hidden="false" customHeight="false" outlineLevel="0" collapsed="false">
      <c r="A599" s="12" t="str">
        <f aca="false">IF(F599="","",COUNTA($F$8:F599))</f>
        <v/>
      </c>
      <c r="B599" s="4"/>
      <c r="C599" s="13"/>
      <c r="D599" s="14"/>
      <c r="E599" s="14"/>
      <c r="F599" s="15"/>
      <c r="G599" s="16"/>
      <c r="H599" s="16"/>
      <c r="I599" s="17" t="str">
        <f aca="false">IF(OR(G599="",H599=""),"",H599-G599)</f>
        <v/>
      </c>
      <c r="J599" s="4"/>
      <c r="K599" s="4"/>
      <c r="L599" s="18" t="str">
        <f aca="false">IF(F599="","",IF(COUNTIF('DS XE - TAI XE'!$B$6:$B$505,F599)&gt;0,"✓ Có","Chưa có trong DS xe"))</f>
        <v/>
      </c>
    </row>
    <row r="600" customFormat="false" ht="15" hidden="false" customHeight="false" outlineLevel="0" collapsed="false">
      <c r="A600" s="12" t="str">
        <f aca="false">IF(F600="","",COUNTA($F$8:F600))</f>
        <v/>
      </c>
      <c r="B600" s="4"/>
      <c r="C600" s="13"/>
      <c r="D600" s="14"/>
      <c r="E600" s="14"/>
      <c r="F600" s="15"/>
      <c r="G600" s="16"/>
      <c r="H600" s="16"/>
      <c r="I600" s="17" t="str">
        <f aca="false">IF(OR(G600="",H600=""),"",H600-G600)</f>
        <v/>
      </c>
      <c r="J600" s="4"/>
      <c r="K600" s="4"/>
      <c r="L600" s="18" t="str">
        <f aca="false">IF(F600="","",IF(COUNTIF('DS XE - TAI XE'!$B$6:$B$505,F600)&gt;0,"✓ Có","Chưa có trong DS xe"))</f>
        <v/>
      </c>
    </row>
    <row r="601" customFormat="false" ht="15" hidden="false" customHeight="false" outlineLevel="0" collapsed="false">
      <c r="A601" s="12" t="str">
        <f aca="false">IF(F601="","",COUNTA($F$8:F601))</f>
        <v/>
      </c>
      <c r="B601" s="4"/>
      <c r="C601" s="13"/>
      <c r="D601" s="14"/>
      <c r="E601" s="14"/>
      <c r="F601" s="15"/>
      <c r="G601" s="16"/>
      <c r="H601" s="16"/>
      <c r="I601" s="17" t="str">
        <f aca="false">IF(OR(G601="",H601=""),"",H601-G601)</f>
        <v/>
      </c>
      <c r="J601" s="4"/>
      <c r="K601" s="4"/>
      <c r="L601" s="18" t="str">
        <f aca="false">IF(F601="","",IF(COUNTIF('DS XE - TAI XE'!$B$6:$B$505,F601)&gt;0,"✓ Có","Chưa có trong DS xe"))</f>
        <v/>
      </c>
    </row>
    <row r="602" customFormat="false" ht="15" hidden="false" customHeight="false" outlineLevel="0" collapsed="false">
      <c r="A602" s="12" t="str">
        <f aca="false">IF(F602="","",COUNTA($F$8:F602))</f>
        <v/>
      </c>
      <c r="B602" s="4"/>
      <c r="C602" s="13"/>
      <c r="D602" s="14"/>
      <c r="E602" s="14"/>
      <c r="F602" s="15"/>
      <c r="G602" s="16"/>
      <c r="H602" s="16"/>
      <c r="I602" s="17" t="str">
        <f aca="false">IF(OR(G602="",H602=""),"",H602-G602)</f>
        <v/>
      </c>
      <c r="J602" s="4"/>
      <c r="K602" s="4"/>
      <c r="L602" s="18" t="str">
        <f aca="false">IF(F602="","",IF(COUNTIF('DS XE - TAI XE'!$B$6:$B$505,F602)&gt;0,"✓ Có","Chưa có trong DS xe"))</f>
        <v/>
      </c>
    </row>
    <row r="603" customFormat="false" ht="15" hidden="false" customHeight="false" outlineLevel="0" collapsed="false">
      <c r="A603" s="12" t="str">
        <f aca="false">IF(F603="","",COUNTA($F$8:F603))</f>
        <v/>
      </c>
      <c r="B603" s="4"/>
      <c r="C603" s="13"/>
      <c r="D603" s="14"/>
      <c r="E603" s="14"/>
      <c r="F603" s="15"/>
      <c r="G603" s="16"/>
      <c r="H603" s="16"/>
      <c r="I603" s="17" t="str">
        <f aca="false">IF(OR(G603="",H603=""),"",H603-G603)</f>
        <v/>
      </c>
      <c r="J603" s="4"/>
      <c r="K603" s="4"/>
      <c r="L603" s="18" t="str">
        <f aca="false">IF(F603="","",IF(COUNTIF('DS XE - TAI XE'!$B$6:$B$505,F603)&gt;0,"✓ Có","Chưa có trong DS xe"))</f>
        <v/>
      </c>
    </row>
    <row r="604" customFormat="false" ht="15" hidden="false" customHeight="false" outlineLevel="0" collapsed="false">
      <c r="A604" s="12" t="str">
        <f aca="false">IF(F604="","",COUNTA($F$8:F604))</f>
        <v/>
      </c>
      <c r="B604" s="4"/>
      <c r="C604" s="13"/>
      <c r="D604" s="14"/>
      <c r="E604" s="14"/>
      <c r="F604" s="15"/>
      <c r="G604" s="16"/>
      <c r="H604" s="16"/>
      <c r="I604" s="17" t="str">
        <f aca="false">IF(OR(G604="",H604=""),"",H604-G604)</f>
        <v/>
      </c>
      <c r="J604" s="4"/>
      <c r="K604" s="4"/>
      <c r="L604" s="18" t="str">
        <f aca="false">IF(F604="","",IF(COUNTIF('DS XE - TAI XE'!$B$6:$B$505,F604)&gt;0,"✓ Có","Chưa có trong DS xe"))</f>
        <v/>
      </c>
    </row>
    <row r="605" customFormat="false" ht="15" hidden="false" customHeight="false" outlineLevel="0" collapsed="false">
      <c r="A605" s="12" t="str">
        <f aca="false">IF(F605="","",COUNTA($F$8:F605))</f>
        <v/>
      </c>
      <c r="B605" s="4"/>
      <c r="C605" s="13"/>
      <c r="D605" s="14"/>
      <c r="E605" s="14"/>
      <c r="F605" s="15"/>
      <c r="G605" s="16"/>
      <c r="H605" s="16"/>
      <c r="I605" s="17" t="str">
        <f aca="false">IF(OR(G605="",H605=""),"",H605-G605)</f>
        <v/>
      </c>
      <c r="J605" s="4"/>
      <c r="K605" s="4"/>
      <c r="L605" s="18" t="str">
        <f aca="false">IF(F605="","",IF(COUNTIF('DS XE - TAI XE'!$B$6:$B$505,F605)&gt;0,"✓ Có","Chưa có trong DS xe"))</f>
        <v/>
      </c>
    </row>
    <row r="606" customFormat="false" ht="15" hidden="false" customHeight="false" outlineLevel="0" collapsed="false">
      <c r="A606" s="12" t="str">
        <f aca="false">IF(F606="","",COUNTA($F$8:F606))</f>
        <v/>
      </c>
      <c r="B606" s="4"/>
      <c r="C606" s="13"/>
      <c r="D606" s="14"/>
      <c r="E606" s="14"/>
      <c r="F606" s="15"/>
      <c r="G606" s="16"/>
      <c r="H606" s="16"/>
      <c r="I606" s="17" t="str">
        <f aca="false">IF(OR(G606="",H606=""),"",H606-G606)</f>
        <v/>
      </c>
      <c r="J606" s="4"/>
      <c r="K606" s="4"/>
      <c r="L606" s="18" t="str">
        <f aca="false">IF(F606="","",IF(COUNTIF('DS XE - TAI XE'!$B$6:$B$505,F606)&gt;0,"✓ Có","Chưa có trong DS xe"))</f>
        <v/>
      </c>
    </row>
    <row r="607" customFormat="false" ht="15" hidden="false" customHeight="false" outlineLevel="0" collapsed="false">
      <c r="A607" s="12" t="str">
        <f aca="false">IF(F607="","",COUNTA($F$8:F607))</f>
        <v/>
      </c>
      <c r="B607" s="4"/>
      <c r="C607" s="13"/>
      <c r="D607" s="14"/>
      <c r="E607" s="14"/>
      <c r="F607" s="15"/>
      <c r="G607" s="16"/>
      <c r="H607" s="16"/>
      <c r="I607" s="17" t="str">
        <f aca="false">IF(OR(G607="",H607=""),"",H607-G607)</f>
        <v/>
      </c>
      <c r="J607" s="4"/>
      <c r="K607" s="4"/>
      <c r="L607" s="18" t="str">
        <f aca="false">IF(F607="","",IF(COUNTIF('DS XE - TAI XE'!$B$6:$B$505,F607)&gt;0,"✓ Có","Chưa có trong DS xe"))</f>
        <v/>
      </c>
    </row>
    <row r="608" customFormat="false" ht="15" hidden="false" customHeight="false" outlineLevel="0" collapsed="false">
      <c r="A608" s="12" t="str">
        <f aca="false">IF(F608="","",COUNTA($F$8:F608))</f>
        <v/>
      </c>
      <c r="B608" s="4"/>
      <c r="C608" s="13"/>
      <c r="D608" s="14"/>
      <c r="E608" s="14"/>
      <c r="F608" s="15"/>
      <c r="G608" s="16"/>
      <c r="H608" s="16"/>
      <c r="I608" s="17" t="str">
        <f aca="false">IF(OR(G608="",H608=""),"",H608-G608)</f>
        <v/>
      </c>
      <c r="J608" s="4"/>
      <c r="K608" s="4"/>
      <c r="L608" s="18" t="str">
        <f aca="false">IF(F608="","",IF(COUNTIF('DS XE - TAI XE'!$B$6:$B$505,F608)&gt;0,"✓ Có","Chưa có trong DS xe"))</f>
        <v/>
      </c>
    </row>
    <row r="609" customFormat="false" ht="15" hidden="false" customHeight="false" outlineLevel="0" collapsed="false">
      <c r="A609" s="12" t="str">
        <f aca="false">IF(F609="","",COUNTA($F$8:F609))</f>
        <v/>
      </c>
      <c r="B609" s="4"/>
      <c r="C609" s="13"/>
      <c r="D609" s="14"/>
      <c r="E609" s="14"/>
      <c r="F609" s="15"/>
      <c r="G609" s="16"/>
      <c r="H609" s="16"/>
      <c r="I609" s="17" t="str">
        <f aca="false">IF(OR(G609="",H609=""),"",H609-G609)</f>
        <v/>
      </c>
      <c r="J609" s="4"/>
      <c r="K609" s="4"/>
      <c r="L609" s="18" t="str">
        <f aca="false">IF(F609="","",IF(COUNTIF('DS XE - TAI XE'!$B$6:$B$505,F609)&gt;0,"✓ Có","Chưa có trong DS xe"))</f>
        <v/>
      </c>
    </row>
    <row r="610" customFormat="false" ht="15" hidden="false" customHeight="false" outlineLevel="0" collapsed="false">
      <c r="A610" s="12" t="str">
        <f aca="false">IF(F610="","",COUNTA($F$8:F610))</f>
        <v/>
      </c>
      <c r="B610" s="4"/>
      <c r="C610" s="13"/>
      <c r="D610" s="14"/>
      <c r="E610" s="14"/>
      <c r="F610" s="15"/>
      <c r="G610" s="16"/>
      <c r="H610" s="16"/>
      <c r="I610" s="17" t="str">
        <f aca="false">IF(OR(G610="",H610=""),"",H610-G610)</f>
        <v/>
      </c>
      <c r="J610" s="4"/>
      <c r="K610" s="4"/>
      <c r="L610" s="18" t="str">
        <f aca="false">IF(F610="","",IF(COUNTIF('DS XE - TAI XE'!$B$6:$B$505,F610)&gt;0,"✓ Có","Chưa có trong DS xe"))</f>
        <v/>
      </c>
    </row>
    <row r="611" customFormat="false" ht="15" hidden="false" customHeight="false" outlineLevel="0" collapsed="false">
      <c r="A611" s="12" t="str">
        <f aca="false">IF(F611="","",COUNTA($F$8:F611))</f>
        <v/>
      </c>
      <c r="B611" s="4"/>
      <c r="C611" s="13"/>
      <c r="D611" s="14"/>
      <c r="E611" s="14"/>
      <c r="F611" s="15"/>
      <c r="G611" s="16"/>
      <c r="H611" s="16"/>
      <c r="I611" s="17" t="str">
        <f aca="false">IF(OR(G611="",H611=""),"",H611-G611)</f>
        <v/>
      </c>
      <c r="J611" s="4"/>
      <c r="K611" s="4"/>
      <c r="L611" s="18" t="str">
        <f aca="false">IF(F611="","",IF(COUNTIF('DS XE - TAI XE'!$B$6:$B$505,F611)&gt;0,"✓ Có","Chưa có trong DS xe"))</f>
        <v/>
      </c>
    </row>
    <row r="612" customFormat="false" ht="15" hidden="false" customHeight="false" outlineLevel="0" collapsed="false">
      <c r="A612" s="12" t="str">
        <f aca="false">IF(F612="","",COUNTA($F$8:F612))</f>
        <v/>
      </c>
      <c r="B612" s="4"/>
      <c r="C612" s="13"/>
      <c r="D612" s="14"/>
      <c r="E612" s="14"/>
      <c r="F612" s="15"/>
      <c r="G612" s="16"/>
      <c r="H612" s="16"/>
      <c r="I612" s="17" t="str">
        <f aca="false">IF(OR(G612="",H612=""),"",H612-G612)</f>
        <v/>
      </c>
      <c r="J612" s="4"/>
      <c r="K612" s="4"/>
      <c r="L612" s="18" t="str">
        <f aca="false">IF(F612="","",IF(COUNTIF('DS XE - TAI XE'!$B$6:$B$505,F612)&gt;0,"✓ Có","Chưa có trong DS xe"))</f>
        <v/>
      </c>
    </row>
    <row r="613" customFormat="false" ht="15" hidden="false" customHeight="false" outlineLevel="0" collapsed="false">
      <c r="A613" s="12" t="str">
        <f aca="false">IF(F613="","",COUNTA($F$8:F613))</f>
        <v/>
      </c>
      <c r="B613" s="4"/>
      <c r="C613" s="13"/>
      <c r="D613" s="14"/>
      <c r="E613" s="14"/>
      <c r="F613" s="15"/>
      <c r="G613" s="16"/>
      <c r="H613" s="16"/>
      <c r="I613" s="17" t="str">
        <f aca="false">IF(OR(G613="",H613=""),"",H613-G613)</f>
        <v/>
      </c>
      <c r="J613" s="4"/>
      <c r="K613" s="4"/>
      <c r="L613" s="18" t="str">
        <f aca="false">IF(F613="","",IF(COUNTIF('DS XE - TAI XE'!$B$6:$B$505,F613)&gt;0,"✓ Có","Chưa có trong DS xe"))</f>
        <v/>
      </c>
    </row>
    <row r="614" customFormat="false" ht="15" hidden="false" customHeight="false" outlineLevel="0" collapsed="false">
      <c r="A614" s="12" t="str">
        <f aca="false">IF(F614="","",COUNTA($F$8:F614))</f>
        <v/>
      </c>
      <c r="B614" s="4"/>
      <c r="C614" s="13"/>
      <c r="D614" s="14"/>
      <c r="E614" s="14"/>
      <c r="F614" s="15"/>
      <c r="G614" s="16"/>
      <c r="H614" s="16"/>
      <c r="I614" s="17" t="str">
        <f aca="false">IF(OR(G614="",H614=""),"",H614-G614)</f>
        <v/>
      </c>
      <c r="J614" s="4"/>
      <c r="K614" s="4"/>
      <c r="L614" s="18" t="str">
        <f aca="false">IF(F614="","",IF(COUNTIF('DS XE - TAI XE'!$B$6:$B$505,F614)&gt;0,"✓ Có","Chưa có trong DS xe"))</f>
        <v/>
      </c>
    </row>
    <row r="615" customFormat="false" ht="15" hidden="false" customHeight="false" outlineLevel="0" collapsed="false">
      <c r="A615" s="12" t="str">
        <f aca="false">IF(F615="","",COUNTA($F$8:F615))</f>
        <v/>
      </c>
      <c r="B615" s="4"/>
      <c r="C615" s="13"/>
      <c r="D615" s="14"/>
      <c r="E615" s="14"/>
      <c r="F615" s="15"/>
      <c r="G615" s="16"/>
      <c r="H615" s="16"/>
      <c r="I615" s="17" t="str">
        <f aca="false">IF(OR(G615="",H615=""),"",H615-G615)</f>
        <v/>
      </c>
      <c r="J615" s="4"/>
      <c r="K615" s="4"/>
      <c r="L615" s="18" t="str">
        <f aca="false">IF(F615="","",IF(COUNTIF('DS XE - TAI XE'!$B$6:$B$505,F615)&gt;0,"✓ Có","Chưa có trong DS xe"))</f>
        <v/>
      </c>
    </row>
    <row r="616" customFormat="false" ht="15" hidden="false" customHeight="false" outlineLevel="0" collapsed="false">
      <c r="A616" s="12" t="str">
        <f aca="false">IF(F616="","",COUNTA($F$8:F616))</f>
        <v/>
      </c>
      <c r="B616" s="4"/>
      <c r="C616" s="13"/>
      <c r="D616" s="14"/>
      <c r="E616" s="14"/>
      <c r="F616" s="15"/>
      <c r="G616" s="16"/>
      <c r="H616" s="16"/>
      <c r="I616" s="17" t="str">
        <f aca="false">IF(OR(G616="",H616=""),"",H616-G616)</f>
        <v/>
      </c>
      <c r="J616" s="4"/>
      <c r="K616" s="4"/>
      <c r="L616" s="18" t="str">
        <f aca="false">IF(F616="","",IF(COUNTIF('DS XE - TAI XE'!$B$6:$B$505,F616)&gt;0,"✓ Có","Chưa có trong DS xe"))</f>
        <v/>
      </c>
    </row>
    <row r="617" customFormat="false" ht="15" hidden="false" customHeight="false" outlineLevel="0" collapsed="false">
      <c r="A617" s="12" t="str">
        <f aca="false">IF(F617="","",COUNTA($F$8:F617))</f>
        <v/>
      </c>
      <c r="B617" s="4"/>
      <c r="C617" s="13"/>
      <c r="D617" s="14"/>
      <c r="E617" s="14"/>
      <c r="F617" s="15"/>
      <c r="G617" s="16"/>
      <c r="H617" s="16"/>
      <c r="I617" s="17" t="str">
        <f aca="false">IF(OR(G617="",H617=""),"",H617-G617)</f>
        <v/>
      </c>
      <c r="J617" s="4"/>
      <c r="K617" s="4"/>
      <c r="L617" s="18" t="str">
        <f aca="false">IF(F617="","",IF(COUNTIF('DS XE - TAI XE'!$B$6:$B$505,F617)&gt;0,"✓ Có","Chưa có trong DS xe"))</f>
        <v/>
      </c>
    </row>
    <row r="618" customFormat="false" ht="15" hidden="false" customHeight="false" outlineLevel="0" collapsed="false">
      <c r="A618" s="12" t="str">
        <f aca="false">IF(F618="","",COUNTA($F$8:F618))</f>
        <v/>
      </c>
      <c r="B618" s="4"/>
      <c r="C618" s="13"/>
      <c r="D618" s="14"/>
      <c r="E618" s="14"/>
      <c r="F618" s="15"/>
      <c r="G618" s="16"/>
      <c r="H618" s="16"/>
      <c r="I618" s="17" t="str">
        <f aca="false">IF(OR(G618="",H618=""),"",H618-G618)</f>
        <v/>
      </c>
      <c r="J618" s="4"/>
      <c r="K618" s="4"/>
      <c r="L618" s="18" t="str">
        <f aca="false">IF(F618="","",IF(COUNTIF('DS XE - TAI XE'!$B$6:$B$505,F618)&gt;0,"✓ Có","Chưa có trong DS xe"))</f>
        <v/>
      </c>
    </row>
    <row r="619" customFormat="false" ht="15" hidden="false" customHeight="false" outlineLevel="0" collapsed="false">
      <c r="A619" s="12" t="str">
        <f aca="false">IF(F619="","",COUNTA($F$8:F619))</f>
        <v/>
      </c>
      <c r="B619" s="4"/>
      <c r="C619" s="13"/>
      <c r="D619" s="14"/>
      <c r="E619" s="14"/>
      <c r="F619" s="15"/>
      <c r="G619" s="16"/>
      <c r="H619" s="16"/>
      <c r="I619" s="17" t="str">
        <f aca="false">IF(OR(G619="",H619=""),"",H619-G619)</f>
        <v/>
      </c>
      <c r="J619" s="4"/>
      <c r="K619" s="4"/>
      <c r="L619" s="18" t="str">
        <f aca="false">IF(F619="","",IF(COUNTIF('DS XE - TAI XE'!$B$6:$B$505,F619)&gt;0,"✓ Có","Chưa có trong DS xe"))</f>
        <v/>
      </c>
    </row>
    <row r="620" customFormat="false" ht="15" hidden="false" customHeight="false" outlineLevel="0" collapsed="false">
      <c r="A620" s="12" t="str">
        <f aca="false">IF(F620="","",COUNTA($F$8:F620))</f>
        <v/>
      </c>
      <c r="B620" s="4"/>
      <c r="C620" s="13"/>
      <c r="D620" s="14"/>
      <c r="E620" s="14"/>
      <c r="F620" s="15"/>
      <c r="G620" s="16"/>
      <c r="H620" s="16"/>
      <c r="I620" s="17" t="str">
        <f aca="false">IF(OR(G620="",H620=""),"",H620-G620)</f>
        <v/>
      </c>
      <c r="J620" s="4"/>
      <c r="K620" s="4"/>
      <c r="L620" s="18" t="str">
        <f aca="false">IF(F620="","",IF(COUNTIF('DS XE - TAI XE'!$B$6:$B$505,F620)&gt;0,"✓ Có","Chưa có trong DS xe"))</f>
        <v/>
      </c>
    </row>
    <row r="621" customFormat="false" ht="15" hidden="false" customHeight="false" outlineLevel="0" collapsed="false">
      <c r="A621" s="12" t="str">
        <f aca="false">IF(F621="","",COUNTA($F$8:F621))</f>
        <v/>
      </c>
      <c r="B621" s="4"/>
      <c r="C621" s="13"/>
      <c r="D621" s="14"/>
      <c r="E621" s="14"/>
      <c r="F621" s="15"/>
      <c r="G621" s="16"/>
      <c r="H621" s="16"/>
      <c r="I621" s="17" t="str">
        <f aca="false">IF(OR(G621="",H621=""),"",H621-G621)</f>
        <v/>
      </c>
      <c r="J621" s="4"/>
      <c r="K621" s="4"/>
      <c r="L621" s="18" t="str">
        <f aca="false">IF(F621="","",IF(COUNTIF('DS XE - TAI XE'!$B$6:$B$505,F621)&gt;0,"✓ Có","Chưa có trong DS xe"))</f>
        <v/>
      </c>
    </row>
    <row r="622" customFormat="false" ht="15" hidden="false" customHeight="false" outlineLevel="0" collapsed="false">
      <c r="A622" s="12" t="str">
        <f aca="false">IF(F622="","",COUNTA($F$8:F622))</f>
        <v/>
      </c>
      <c r="B622" s="4"/>
      <c r="C622" s="13"/>
      <c r="D622" s="14"/>
      <c r="E622" s="14"/>
      <c r="F622" s="15"/>
      <c r="G622" s="16"/>
      <c r="H622" s="16"/>
      <c r="I622" s="17" t="str">
        <f aca="false">IF(OR(G622="",H622=""),"",H622-G622)</f>
        <v/>
      </c>
      <c r="J622" s="4"/>
      <c r="K622" s="4"/>
      <c r="L622" s="18" t="str">
        <f aca="false">IF(F622="","",IF(COUNTIF('DS XE - TAI XE'!$B$6:$B$505,F622)&gt;0,"✓ Có","Chưa có trong DS xe"))</f>
        <v/>
      </c>
    </row>
    <row r="623" customFormat="false" ht="15" hidden="false" customHeight="false" outlineLevel="0" collapsed="false">
      <c r="A623" s="12" t="str">
        <f aca="false">IF(F623="","",COUNTA($F$8:F623))</f>
        <v/>
      </c>
      <c r="B623" s="4"/>
      <c r="C623" s="13"/>
      <c r="D623" s="14"/>
      <c r="E623" s="14"/>
      <c r="F623" s="15"/>
      <c r="G623" s="16"/>
      <c r="H623" s="16"/>
      <c r="I623" s="17" t="str">
        <f aca="false">IF(OR(G623="",H623=""),"",H623-G623)</f>
        <v/>
      </c>
      <c r="J623" s="4"/>
      <c r="K623" s="4"/>
      <c r="L623" s="18" t="str">
        <f aca="false">IF(F623="","",IF(COUNTIF('DS XE - TAI XE'!$B$6:$B$505,F623)&gt;0,"✓ Có","Chưa có trong DS xe"))</f>
        <v/>
      </c>
    </row>
    <row r="624" customFormat="false" ht="15" hidden="false" customHeight="false" outlineLevel="0" collapsed="false">
      <c r="A624" s="12" t="str">
        <f aca="false">IF(F624="","",COUNTA($F$8:F624))</f>
        <v/>
      </c>
      <c r="B624" s="4"/>
      <c r="C624" s="13"/>
      <c r="D624" s="14"/>
      <c r="E624" s="14"/>
      <c r="F624" s="15"/>
      <c r="G624" s="16"/>
      <c r="H624" s="16"/>
      <c r="I624" s="17" t="str">
        <f aca="false">IF(OR(G624="",H624=""),"",H624-G624)</f>
        <v/>
      </c>
      <c r="J624" s="4"/>
      <c r="K624" s="4"/>
      <c r="L624" s="18" t="str">
        <f aca="false">IF(F624="","",IF(COUNTIF('DS XE - TAI XE'!$B$6:$B$505,F624)&gt;0,"✓ Có","Chưa có trong DS xe"))</f>
        <v/>
      </c>
    </row>
    <row r="625" customFormat="false" ht="15" hidden="false" customHeight="false" outlineLevel="0" collapsed="false">
      <c r="A625" s="12" t="str">
        <f aca="false">IF(F625="","",COUNTA($F$8:F625))</f>
        <v/>
      </c>
      <c r="B625" s="4"/>
      <c r="C625" s="13"/>
      <c r="D625" s="14"/>
      <c r="E625" s="14"/>
      <c r="F625" s="15"/>
      <c r="G625" s="16"/>
      <c r="H625" s="16"/>
      <c r="I625" s="17" t="str">
        <f aca="false">IF(OR(G625="",H625=""),"",H625-G625)</f>
        <v/>
      </c>
      <c r="J625" s="4"/>
      <c r="K625" s="4"/>
      <c r="L625" s="18" t="str">
        <f aca="false">IF(F625="","",IF(COUNTIF('DS XE - TAI XE'!$B$6:$B$505,F625)&gt;0,"✓ Có","Chưa có trong DS xe"))</f>
        <v/>
      </c>
    </row>
    <row r="626" customFormat="false" ht="15" hidden="false" customHeight="false" outlineLevel="0" collapsed="false">
      <c r="A626" s="12" t="str">
        <f aca="false">IF(F626="","",COUNTA($F$8:F626))</f>
        <v/>
      </c>
      <c r="B626" s="4"/>
      <c r="C626" s="13"/>
      <c r="D626" s="14"/>
      <c r="E626" s="14"/>
      <c r="F626" s="15"/>
      <c r="G626" s="16"/>
      <c r="H626" s="16"/>
      <c r="I626" s="17" t="str">
        <f aca="false">IF(OR(G626="",H626=""),"",H626-G626)</f>
        <v/>
      </c>
      <c r="J626" s="4"/>
      <c r="K626" s="4"/>
      <c r="L626" s="18" t="str">
        <f aca="false">IF(F626="","",IF(COUNTIF('DS XE - TAI XE'!$B$6:$B$505,F626)&gt;0,"✓ Có","Chưa có trong DS xe"))</f>
        <v/>
      </c>
    </row>
    <row r="627" customFormat="false" ht="15" hidden="false" customHeight="false" outlineLevel="0" collapsed="false">
      <c r="A627" s="12" t="str">
        <f aca="false">IF(F627="","",COUNTA($F$8:F627))</f>
        <v/>
      </c>
      <c r="B627" s="4"/>
      <c r="C627" s="13"/>
      <c r="D627" s="14"/>
      <c r="E627" s="14"/>
      <c r="F627" s="15"/>
      <c r="G627" s="16"/>
      <c r="H627" s="16"/>
      <c r="I627" s="17" t="str">
        <f aca="false">IF(OR(G627="",H627=""),"",H627-G627)</f>
        <v/>
      </c>
      <c r="J627" s="4"/>
      <c r="K627" s="4"/>
      <c r="L627" s="18" t="str">
        <f aca="false">IF(F627="","",IF(COUNTIF('DS XE - TAI XE'!$B$6:$B$505,F627)&gt;0,"✓ Có","Chưa có trong DS xe"))</f>
        <v/>
      </c>
    </row>
    <row r="628" customFormat="false" ht="15" hidden="false" customHeight="false" outlineLevel="0" collapsed="false">
      <c r="A628" s="12" t="str">
        <f aca="false">IF(F628="","",COUNTA($F$8:F628))</f>
        <v/>
      </c>
      <c r="B628" s="4"/>
      <c r="C628" s="13"/>
      <c r="D628" s="14"/>
      <c r="E628" s="14"/>
      <c r="F628" s="15"/>
      <c r="G628" s="16"/>
      <c r="H628" s="16"/>
      <c r="I628" s="17" t="str">
        <f aca="false">IF(OR(G628="",H628=""),"",H628-G628)</f>
        <v/>
      </c>
      <c r="J628" s="4"/>
      <c r="K628" s="4"/>
      <c r="L628" s="18" t="str">
        <f aca="false">IF(F628="","",IF(COUNTIF('DS XE - TAI XE'!$B$6:$B$505,F628)&gt;0,"✓ Có","Chưa có trong DS xe"))</f>
        <v/>
      </c>
    </row>
    <row r="629" customFormat="false" ht="15" hidden="false" customHeight="false" outlineLevel="0" collapsed="false">
      <c r="A629" s="12" t="str">
        <f aca="false">IF(F629="","",COUNTA($F$8:F629))</f>
        <v/>
      </c>
      <c r="B629" s="4"/>
      <c r="C629" s="13"/>
      <c r="D629" s="14"/>
      <c r="E629" s="14"/>
      <c r="F629" s="15"/>
      <c r="G629" s="16"/>
      <c r="H629" s="16"/>
      <c r="I629" s="17" t="str">
        <f aca="false">IF(OR(G629="",H629=""),"",H629-G629)</f>
        <v/>
      </c>
      <c r="J629" s="4"/>
      <c r="K629" s="4"/>
      <c r="L629" s="18" t="str">
        <f aca="false">IF(F629="","",IF(COUNTIF('DS XE - TAI XE'!$B$6:$B$505,F629)&gt;0,"✓ Có","Chưa có trong DS xe"))</f>
        <v/>
      </c>
    </row>
    <row r="630" customFormat="false" ht="15" hidden="false" customHeight="false" outlineLevel="0" collapsed="false">
      <c r="A630" s="12" t="str">
        <f aca="false">IF(F630="","",COUNTA($F$8:F630))</f>
        <v/>
      </c>
      <c r="B630" s="4"/>
      <c r="C630" s="13"/>
      <c r="D630" s="14"/>
      <c r="E630" s="14"/>
      <c r="F630" s="15"/>
      <c r="G630" s="16"/>
      <c r="H630" s="16"/>
      <c r="I630" s="17" t="str">
        <f aca="false">IF(OR(G630="",H630=""),"",H630-G630)</f>
        <v/>
      </c>
      <c r="J630" s="4"/>
      <c r="K630" s="4"/>
      <c r="L630" s="18" t="str">
        <f aca="false">IF(F630="","",IF(COUNTIF('DS XE - TAI XE'!$B$6:$B$505,F630)&gt;0,"✓ Có","Chưa có trong DS xe"))</f>
        <v/>
      </c>
    </row>
    <row r="631" customFormat="false" ht="15" hidden="false" customHeight="false" outlineLevel="0" collapsed="false">
      <c r="A631" s="12" t="str">
        <f aca="false">IF(F631="","",COUNTA($F$8:F631))</f>
        <v/>
      </c>
      <c r="B631" s="4"/>
      <c r="C631" s="13"/>
      <c r="D631" s="14"/>
      <c r="E631" s="14"/>
      <c r="F631" s="15"/>
      <c r="G631" s="16"/>
      <c r="H631" s="16"/>
      <c r="I631" s="17" t="str">
        <f aca="false">IF(OR(G631="",H631=""),"",H631-G631)</f>
        <v/>
      </c>
      <c r="J631" s="4"/>
      <c r="K631" s="4"/>
      <c r="L631" s="18" t="str">
        <f aca="false">IF(F631="","",IF(COUNTIF('DS XE - TAI XE'!$B$6:$B$505,F631)&gt;0,"✓ Có","Chưa có trong DS xe"))</f>
        <v/>
      </c>
    </row>
    <row r="632" customFormat="false" ht="15" hidden="false" customHeight="false" outlineLevel="0" collapsed="false">
      <c r="A632" s="12" t="str">
        <f aca="false">IF(F632="","",COUNTA($F$8:F632))</f>
        <v/>
      </c>
      <c r="B632" s="4"/>
      <c r="C632" s="13"/>
      <c r="D632" s="14"/>
      <c r="E632" s="14"/>
      <c r="F632" s="15"/>
      <c r="G632" s="16"/>
      <c r="H632" s="16"/>
      <c r="I632" s="17" t="str">
        <f aca="false">IF(OR(G632="",H632=""),"",H632-G632)</f>
        <v/>
      </c>
      <c r="J632" s="4"/>
      <c r="K632" s="4"/>
      <c r="L632" s="18" t="str">
        <f aca="false">IF(F632="","",IF(COUNTIF('DS XE - TAI XE'!$B$6:$B$505,F632)&gt;0,"✓ Có","Chưa có trong DS xe"))</f>
        <v/>
      </c>
    </row>
    <row r="633" customFormat="false" ht="15" hidden="false" customHeight="false" outlineLevel="0" collapsed="false">
      <c r="A633" s="12" t="str">
        <f aca="false">IF(F633="","",COUNTA($F$8:F633))</f>
        <v/>
      </c>
      <c r="B633" s="4"/>
      <c r="C633" s="13"/>
      <c r="D633" s="14"/>
      <c r="E633" s="14"/>
      <c r="F633" s="15"/>
      <c r="G633" s="16"/>
      <c r="H633" s="16"/>
      <c r="I633" s="17" t="str">
        <f aca="false">IF(OR(G633="",H633=""),"",H633-G633)</f>
        <v/>
      </c>
      <c r="J633" s="4"/>
      <c r="K633" s="4"/>
      <c r="L633" s="18" t="str">
        <f aca="false">IF(F633="","",IF(COUNTIF('DS XE - TAI XE'!$B$6:$B$505,F633)&gt;0,"✓ Có","Chưa có trong DS xe"))</f>
        <v/>
      </c>
    </row>
    <row r="634" customFormat="false" ht="15" hidden="false" customHeight="false" outlineLevel="0" collapsed="false">
      <c r="A634" s="12" t="str">
        <f aca="false">IF(F634="","",COUNTA($F$8:F634))</f>
        <v/>
      </c>
      <c r="B634" s="4"/>
      <c r="C634" s="13"/>
      <c r="D634" s="14"/>
      <c r="E634" s="14"/>
      <c r="F634" s="15"/>
      <c r="G634" s="16"/>
      <c r="H634" s="16"/>
      <c r="I634" s="17" t="str">
        <f aca="false">IF(OR(G634="",H634=""),"",H634-G634)</f>
        <v/>
      </c>
      <c r="J634" s="4"/>
      <c r="K634" s="4"/>
      <c r="L634" s="18" t="str">
        <f aca="false">IF(F634="","",IF(COUNTIF('DS XE - TAI XE'!$B$6:$B$505,F634)&gt;0,"✓ Có","Chưa có trong DS xe"))</f>
        <v/>
      </c>
    </row>
    <row r="635" customFormat="false" ht="15" hidden="false" customHeight="false" outlineLevel="0" collapsed="false">
      <c r="A635" s="12" t="str">
        <f aca="false">IF(F635="","",COUNTA($F$8:F635))</f>
        <v/>
      </c>
      <c r="B635" s="4"/>
      <c r="C635" s="13"/>
      <c r="D635" s="14"/>
      <c r="E635" s="14"/>
      <c r="F635" s="15"/>
      <c r="G635" s="16"/>
      <c r="H635" s="16"/>
      <c r="I635" s="17" t="str">
        <f aca="false">IF(OR(G635="",H635=""),"",H635-G635)</f>
        <v/>
      </c>
      <c r="J635" s="4"/>
      <c r="K635" s="4"/>
      <c r="L635" s="18" t="str">
        <f aca="false">IF(F635="","",IF(COUNTIF('DS XE - TAI XE'!$B$6:$B$505,F635)&gt;0,"✓ Có","Chưa có trong DS xe"))</f>
        <v/>
      </c>
    </row>
    <row r="636" customFormat="false" ht="15" hidden="false" customHeight="false" outlineLevel="0" collapsed="false">
      <c r="A636" s="12" t="str">
        <f aca="false">IF(F636="","",COUNTA($F$8:F636))</f>
        <v/>
      </c>
      <c r="B636" s="4"/>
      <c r="C636" s="13"/>
      <c r="D636" s="14"/>
      <c r="E636" s="14"/>
      <c r="F636" s="15"/>
      <c r="G636" s="16"/>
      <c r="H636" s="16"/>
      <c r="I636" s="17" t="str">
        <f aca="false">IF(OR(G636="",H636=""),"",H636-G636)</f>
        <v/>
      </c>
      <c r="J636" s="4"/>
      <c r="K636" s="4"/>
      <c r="L636" s="18" t="str">
        <f aca="false">IF(F636="","",IF(COUNTIF('DS XE - TAI XE'!$B$6:$B$505,F636)&gt;0,"✓ Có","Chưa có trong DS xe"))</f>
        <v/>
      </c>
    </row>
    <row r="637" customFormat="false" ht="15" hidden="false" customHeight="false" outlineLevel="0" collapsed="false">
      <c r="A637" s="12" t="str">
        <f aca="false">IF(F637="","",COUNTA($F$8:F637))</f>
        <v/>
      </c>
      <c r="B637" s="4"/>
      <c r="C637" s="13"/>
      <c r="D637" s="14"/>
      <c r="E637" s="14"/>
      <c r="F637" s="15"/>
      <c r="G637" s="16"/>
      <c r="H637" s="16"/>
      <c r="I637" s="17" t="str">
        <f aca="false">IF(OR(G637="",H637=""),"",H637-G637)</f>
        <v/>
      </c>
      <c r="J637" s="4"/>
      <c r="K637" s="4"/>
      <c r="L637" s="18" t="str">
        <f aca="false">IF(F637="","",IF(COUNTIF('DS XE - TAI XE'!$B$6:$B$505,F637)&gt;0,"✓ Có","Chưa có trong DS xe"))</f>
        <v/>
      </c>
    </row>
    <row r="638" customFormat="false" ht="15" hidden="false" customHeight="false" outlineLevel="0" collapsed="false">
      <c r="A638" s="12" t="str">
        <f aca="false">IF(F638="","",COUNTA($F$8:F638))</f>
        <v/>
      </c>
      <c r="B638" s="4"/>
      <c r="C638" s="13"/>
      <c r="D638" s="14"/>
      <c r="E638" s="14"/>
      <c r="F638" s="15"/>
      <c r="G638" s="16"/>
      <c r="H638" s="16"/>
      <c r="I638" s="17" t="str">
        <f aca="false">IF(OR(G638="",H638=""),"",H638-G638)</f>
        <v/>
      </c>
      <c r="J638" s="4"/>
      <c r="K638" s="4"/>
      <c r="L638" s="18" t="str">
        <f aca="false">IF(F638="","",IF(COUNTIF('DS XE - TAI XE'!$B$6:$B$505,F638)&gt;0,"✓ Có","Chưa có trong DS xe"))</f>
        <v/>
      </c>
    </row>
    <row r="639" customFormat="false" ht="15" hidden="false" customHeight="false" outlineLevel="0" collapsed="false">
      <c r="A639" s="12" t="str">
        <f aca="false">IF(F639="","",COUNTA($F$8:F639))</f>
        <v/>
      </c>
      <c r="B639" s="4"/>
      <c r="C639" s="13"/>
      <c r="D639" s="14"/>
      <c r="E639" s="14"/>
      <c r="F639" s="15"/>
      <c r="G639" s="16"/>
      <c r="H639" s="16"/>
      <c r="I639" s="17" t="str">
        <f aca="false">IF(OR(G639="",H639=""),"",H639-G639)</f>
        <v/>
      </c>
      <c r="J639" s="4"/>
      <c r="K639" s="4"/>
      <c r="L639" s="18" t="str">
        <f aca="false">IF(F639="","",IF(COUNTIF('DS XE - TAI XE'!$B$6:$B$505,F639)&gt;0,"✓ Có","Chưa có trong DS xe"))</f>
        <v/>
      </c>
    </row>
    <row r="640" customFormat="false" ht="15" hidden="false" customHeight="false" outlineLevel="0" collapsed="false">
      <c r="A640" s="12" t="str">
        <f aca="false">IF(F640="","",COUNTA($F$8:F640))</f>
        <v/>
      </c>
      <c r="B640" s="4"/>
      <c r="C640" s="13"/>
      <c r="D640" s="14"/>
      <c r="E640" s="14"/>
      <c r="F640" s="15"/>
      <c r="G640" s="16"/>
      <c r="H640" s="16"/>
      <c r="I640" s="17" t="str">
        <f aca="false">IF(OR(G640="",H640=""),"",H640-G640)</f>
        <v/>
      </c>
      <c r="J640" s="4"/>
      <c r="K640" s="4"/>
      <c r="L640" s="18" t="str">
        <f aca="false">IF(F640="","",IF(COUNTIF('DS XE - TAI XE'!$B$6:$B$505,F640)&gt;0,"✓ Có","Chưa có trong DS xe"))</f>
        <v/>
      </c>
    </row>
    <row r="641" customFormat="false" ht="15" hidden="false" customHeight="false" outlineLevel="0" collapsed="false">
      <c r="A641" s="12" t="str">
        <f aca="false">IF(F641="","",COUNTA($F$8:F641))</f>
        <v/>
      </c>
      <c r="B641" s="4"/>
      <c r="C641" s="13"/>
      <c r="D641" s="14"/>
      <c r="E641" s="14"/>
      <c r="F641" s="15"/>
      <c r="G641" s="16"/>
      <c r="H641" s="16"/>
      <c r="I641" s="17" t="str">
        <f aca="false">IF(OR(G641="",H641=""),"",H641-G641)</f>
        <v/>
      </c>
      <c r="J641" s="4"/>
      <c r="K641" s="4"/>
      <c r="L641" s="18" t="str">
        <f aca="false">IF(F641="","",IF(COUNTIF('DS XE - TAI XE'!$B$6:$B$505,F641)&gt;0,"✓ Có","Chưa có trong DS xe"))</f>
        <v/>
      </c>
    </row>
    <row r="642" customFormat="false" ht="15" hidden="false" customHeight="false" outlineLevel="0" collapsed="false">
      <c r="A642" s="12" t="str">
        <f aca="false">IF(F642="","",COUNTA($F$8:F642))</f>
        <v/>
      </c>
      <c r="B642" s="4"/>
      <c r="C642" s="13"/>
      <c r="D642" s="14"/>
      <c r="E642" s="14"/>
      <c r="F642" s="15"/>
      <c r="G642" s="16"/>
      <c r="H642" s="16"/>
      <c r="I642" s="17" t="str">
        <f aca="false">IF(OR(G642="",H642=""),"",H642-G642)</f>
        <v/>
      </c>
      <c r="J642" s="4"/>
      <c r="K642" s="4"/>
      <c r="L642" s="18" t="str">
        <f aca="false">IF(F642="","",IF(COUNTIF('DS XE - TAI XE'!$B$6:$B$505,F642)&gt;0,"✓ Có","Chưa có trong DS xe"))</f>
        <v/>
      </c>
    </row>
    <row r="643" customFormat="false" ht="15" hidden="false" customHeight="false" outlineLevel="0" collapsed="false">
      <c r="A643" s="12" t="str">
        <f aca="false">IF(F643="","",COUNTA($F$8:F643))</f>
        <v/>
      </c>
      <c r="B643" s="4"/>
      <c r="C643" s="13"/>
      <c r="D643" s="14"/>
      <c r="E643" s="14"/>
      <c r="F643" s="15"/>
      <c r="G643" s="16"/>
      <c r="H643" s="16"/>
      <c r="I643" s="17" t="str">
        <f aca="false">IF(OR(G643="",H643=""),"",H643-G643)</f>
        <v/>
      </c>
      <c r="J643" s="4"/>
      <c r="K643" s="4"/>
      <c r="L643" s="18" t="str">
        <f aca="false">IF(F643="","",IF(COUNTIF('DS XE - TAI XE'!$B$6:$B$505,F643)&gt;0,"✓ Có","Chưa có trong DS xe"))</f>
        <v/>
      </c>
    </row>
    <row r="644" customFormat="false" ht="15" hidden="false" customHeight="false" outlineLevel="0" collapsed="false">
      <c r="A644" s="12" t="str">
        <f aca="false">IF(F644="","",COUNTA($F$8:F644))</f>
        <v/>
      </c>
      <c r="B644" s="4"/>
      <c r="C644" s="13"/>
      <c r="D644" s="14"/>
      <c r="E644" s="14"/>
      <c r="F644" s="15"/>
      <c r="G644" s="16"/>
      <c r="H644" s="16"/>
      <c r="I644" s="17" t="str">
        <f aca="false">IF(OR(G644="",H644=""),"",H644-G644)</f>
        <v/>
      </c>
      <c r="J644" s="4"/>
      <c r="K644" s="4"/>
      <c r="L644" s="18" t="str">
        <f aca="false">IF(F644="","",IF(COUNTIF('DS XE - TAI XE'!$B$6:$B$505,F644)&gt;0,"✓ Có","Chưa có trong DS xe"))</f>
        <v/>
      </c>
    </row>
    <row r="645" customFormat="false" ht="15" hidden="false" customHeight="false" outlineLevel="0" collapsed="false">
      <c r="A645" s="12" t="str">
        <f aca="false">IF(F645="","",COUNTA($F$8:F645))</f>
        <v/>
      </c>
      <c r="B645" s="4"/>
      <c r="C645" s="13"/>
      <c r="D645" s="14"/>
      <c r="E645" s="14"/>
      <c r="F645" s="15"/>
      <c r="G645" s="16"/>
      <c r="H645" s="16"/>
      <c r="I645" s="17" t="str">
        <f aca="false">IF(OR(G645="",H645=""),"",H645-G645)</f>
        <v/>
      </c>
      <c r="J645" s="4"/>
      <c r="K645" s="4"/>
      <c r="L645" s="18" t="str">
        <f aca="false">IF(F645="","",IF(COUNTIF('DS XE - TAI XE'!$B$6:$B$505,F645)&gt;0,"✓ Có","Chưa có trong DS xe"))</f>
        <v/>
      </c>
    </row>
    <row r="646" customFormat="false" ht="15" hidden="false" customHeight="false" outlineLevel="0" collapsed="false">
      <c r="A646" s="12" t="str">
        <f aca="false">IF(F646="","",COUNTA($F$8:F646))</f>
        <v/>
      </c>
      <c r="B646" s="4"/>
      <c r="C646" s="13"/>
      <c r="D646" s="14"/>
      <c r="E646" s="14"/>
      <c r="F646" s="15"/>
      <c r="G646" s="16"/>
      <c r="H646" s="16"/>
      <c r="I646" s="17" t="str">
        <f aca="false">IF(OR(G646="",H646=""),"",H646-G646)</f>
        <v/>
      </c>
      <c r="J646" s="4"/>
      <c r="K646" s="4"/>
      <c r="L646" s="18" t="str">
        <f aca="false">IF(F646="","",IF(COUNTIF('DS XE - TAI XE'!$B$6:$B$505,F646)&gt;0,"✓ Có","Chưa có trong DS xe"))</f>
        <v/>
      </c>
    </row>
    <row r="647" customFormat="false" ht="15" hidden="false" customHeight="false" outlineLevel="0" collapsed="false">
      <c r="A647" s="12" t="str">
        <f aca="false">IF(F647="","",COUNTA($F$8:F647))</f>
        <v/>
      </c>
      <c r="B647" s="4"/>
      <c r="C647" s="13"/>
      <c r="D647" s="14"/>
      <c r="E647" s="14"/>
      <c r="F647" s="15"/>
      <c r="G647" s="16"/>
      <c r="H647" s="16"/>
      <c r="I647" s="17" t="str">
        <f aca="false">IF(OR(G647="",H647=""),"",H647-G647)</f>
        <v/>
      </c>
      <c r="J647" s="4"/>
      <c r="K647" s="4"/>
      <c r="L647" s="18" t="str">
        <f aca="false">IF(F647="","",IF(COUNTIF('DS XE - TAI XE'!$B$6:$B$505,F647)&gt;0,"✓ Có","Chưa có trong DS xe"))</f>
        <v/>
      </c>
    </row>
    <row r="648" customFormat="false" ht="15" hidden="false" customHeight="false" outlineLevel="0" collapsed="false">
      <c r="A648" s="12" t="str">
        <f aca="false">IF(F648="","",COUNTA($F$8:F648))</f>
        <v/>
      </c>
      <c r="B648" s="4"/>
      <c r="C648" s="13"/>
      <c r="D648" s="14"/>
      <c r="E648" s="14"/>
      <c r="F648" s="15"/>
      <c r="G648" s="16"/>
      <c r="H648" s="16"/>
      <c r="I648" s="17" t="str">
        <f aca="false">IF(OR(G648="",H648=""),"",H648-G648)</f>
        <v/>
      </c>
      <c r="J648" s="4"/>
      <c r="K648" s="4"/>
      <c r="L648" s="18" t="str">
        <f aca="false">IF(F648="","",IF(COUNTIF('DS XE - TAI XE'!$B$6:$B$505,F648)&gt;0,"✓ Có","Chưa có trong DS xe"))</f>
        <v/>
      </c>
    </row>
    <row r="649" customFormat="false" ht="15" hidden="false" customHeight="false" outlineLevel="0" collapsed="false">
      <c r="A649" s="12" t="str">
        <f aca="false">IF(F649="","",COUNTA($F$8:F649))</f>
        <v/>
      </c>
      <c r="B649" s="4"/>
      <c r="C649" s="13"/>
      <c r="D649" s="14"/>
      <c r="E649" s="14"/>
      <c r="F649" s="15"/>
      <c r="G649" s="16"/>
      <c r="H649" s="16"/>
      <c r="I649" s="17" t="str">
        <f aca="false">IF(OR(G649="",H649=""),"",H649-G649)</f>
        <v/>
      </c>
      <c r="J649" s="4"/>
      <c r="K649" s="4"/>
      <c r="L649" s="18" t="str">
        <f aca="false">IF(F649="","",IF(COUNTIF('DS XE - TAI XE'!$B$6:$B$505,F649)&gt;0,"✓ Có","Chưa có trong DS xe"))</f>
        <v/>
      </c>
    </row>
    <row r="650" customFormat="false" ht="15" hidden="false" customHeight="false" outlineLevel="0" collapsed="false">
      <c r="A650" s="12" t="str">
        <f aca="false">IF(F650="","",COUNTA($F$8:F650))</f>
        <v/>
      </c>
      <c r="B650" s="4"/>
      <c r="C650" s="13"/>
      <c r="D650" s="14"/>
      <c r="E650" s="14"/>
      <c r="F650" s="15"/>
      <c r="G650" s="16"/>
      <c r="H650" s="16"/>
      <c r="I650" s="17" t="str">
        <f aca="false">IF(OR(G650="",H650=""),"",H650-G650)</f>
        <v/>
      </c>
      <c r="J650" s="4"/>
      <c r="K650" s="4"/>
      <c r="L650" s="18" t="str">
        <f aca="false">IF(F650="","",IF(COUNTIF('DS XE - TAI XE'!$B$6:$B$505,F650)&gt;0,"✓ Có","Chưa có trong DS xe"))</f>
        <v/>
      </c>
    </row>
    <row r="651" customFormat="false" ht="15" hidden="false" customHeight="false" outlineLevel="0" collapsed="false">
      <c r="A651" s="12" t="str">
        <f aca="false">IF(F651="","",COUNTA($F$8:F651))</f>
        <v/>
      </c>
      <c r="B651" s="4"/>
      <c r="C651" s="13"/>
      <c r="D651" s="14"/>
      <c r="E651" s="14"/>
      <c r="F651" s="15"/>
      <c r="G651" s="16"/>
      <c r="H651" s="16"/>
      <c r="I651" s="17" t="str">
        <f aca="false">IF(OR(G651="",H651=""),"",H651-G651)</f>
        <v/>
      </c>
      <c r="J651" s="4"/>
      <c r="K651" s="4"/>
      <c r="L651" s="18" t="str">
        <f aca="false">IF(F651="","",IF(COUNTIF('DS XE - TAI XE'!$B$6:$B$505,F651)&gt;0,"✓ Có","Chưa có trong DS xe"))</f>
        <v/>
      </c>
    </row>
    <row r="652" customFormat="false" ht="15" hidden="false" customHeight="false" outlineLevel="0" collapsed="false">
      <c r="A652" s="12" t="str">
        <f aca="false">IF(F652="","",COUNTA($F$8:F652))</f>
        <v/>
      </c>
      <c r="B652" s="4"/>
      <c r="C652" s="13"/>
      <c r="D652" s="14"/>
      <c r="E652" s="14"/>
      <c r="F652" s="15"/>
      <c r="G652" s="16"/>
      <c r="H652" s="16"/>
      <c r="I652" s="17" t="str">
        <f aca="false">IF(OR(G652="",H652=""),"",H652-G652)</f>
        <v/>
      </c>
      <c r="J652" s="4"/>
      <c r="K652" s="4"/>
      <c r="L652" s="18" t="str">
        <f aca="false">IF(F652="","",IF(COUNTIF('DS XE - TAI XE'!$B$6:$B$505,F652)&gt;0,"✓ Có","Chưa có trong DS xe"))</f>
        <v/>
      </c>
    </row>
    <row r="653" customFormat="false" ht="15" hidden="false" customHeight="false" outlineLevel="0" collapsed="false">
      <c r="A653" s="12" t="str">
        <f aca="false">IF(F653="","",COUNTA($F$8:F653))</f>
        <v/>
      </c>
      <c r="B653" s="4"/>
      <c r="C653" s="13"/>
      <c r="D653" s="14"/>
      <c r="E653" s="14"/>
      <c r="F653" s="15"/>
      <c r="G653" s="16"/>
      <c r="H653" s="16"/>
      <c r="I653" s="17" t="str">
        <f aca="false">IF(OR(G653="",H653=""),"",H653-G653)</f>
        <v/>
      </c>
      <c r="J653" s="4"/>
      <c r="K653" s="4"/>
      <c r="L653" s="18" t="str">
        <f aca="false">IF(F653="","",IF(COUNTIF('DS XE - TAI XE'!$B$6:$B$505,F653)&gt;0,"✓ Có","Chưa có trong DS xe"))</f>
        <v/>
      </c>
    </row>
    <row r="654" customFormat="false" ht="15" hidden="false" customHeight="false" outlineLevel="0" collapsed="false">
      <c r="A654" s="12" t="str">
        <f aca="false">IF(F654="","",COUNTA($F$8:F654))</f>
        <v/>
      </c>
      <c r="B654" s="4"/>
      <c r="C654" s="13"/>
      <c r="D654" s="14"/>
      <c r="E654" s="14"/>
      <c r="F654" s="15"/>
      <c r="G654" s="16"/>
      <c r="H654" s="16"/>
      <c r="I654" s="17" t="str">
        <f aca="false">IF(OR(G654="",H654=""),"",H654-G654)</f>
        <v/>
      </c>
      <c r="J654" s="4"/>
      <c r="K654" s="4"/>
      <c r="L654" s="18" t="str">
        <f aca="false">IF(F654="","",IF(COUNTIF('DS XE - TAI XE'!$B$6:$B$505,F654)&gt;0,"✓ Có","Chưa có trong DS xe"))</f>
        <v/>
      </c>
    </row>
    <row r="655" customFormat="false" ht="15" hidden="false" customHeight="false" outlineLevel="0" collapsed="false">
      <c r="A655" s="12" t="str">
        <f aca="false">IF(F655="","",COUNTA($F$8:F655))</f>
        <v/>
      </c>
      <c r="B655" s="4"/>
      <c r="C655" s="13"/>
      <c r="D655" s="14"/>
      <c r="E655" s="14"/>
      <c r="F655" s="15"/>
      <c r="G655" s="16"/>
      <c r="H655" s="16"/>
      <c r="I655" s="17" t="str">
        <f aca="false">IF(OR(G655="",H655=""),"",H655-G655)</f>
        <v/>
      </c>
      <c r="J655" s="4"/>
      <c r="K655" s="4"/>
      <c r="L655" s="18" t="str">
        <f aca="false">IF(F655="","",IF(COUNTIF('DS XE - TAI XE'!$B$6:$B$505,F655)&gt;0,"✓ Có","Chưa có trong DS xe"))</f>
        <v/>
      </c>
    </row>
    <row r="656" customFormat="false" ht="15" hidden="false" customHeight="false" outlineLevel="0" collapsed="false">
      <c r="A656" s="12" t="str">
        <f aca="false">IF(F656="","",COUNTA($F$8:F656))</f>
        <v/>
      </c>
      <c r="B656" s="4"/>
      <c r="C656" s="13"/>
      <c r="D656" s="14"/>
      <c r="E656" s="14"/>
      <c r="F656" s="15"/>
      <c r="G656" s="16"/>
      <c r="H656" s="16"/>
      <c r="I656" s="17" t="str">
        <f aca="false">IF(OR(G656="",H656=""),"",H656-G656)</f>
        <v/>
      </c>
      <c r="J656" s="4"/>
      <c r="K656" s="4"/>
      <c r="L656" s="18" t="str">
        <f aca="false">IF(F656="","",IF(COUNTIF('DS XE - TAI XE'!$B$6:$B$505,F656)&gt;0,"✓ Có","Chưa có trong DS xe"))</f>
        <v/>
      </c>
    </row>
    <row r="657" customFormat="false" ht="15" hidden="false" customHeight="false" outlineLevel="0" collapsed="false">
      <c r="A657" s="12" t="str">
        <f aca="false">IF(F657="","",COUNTA($F$8:F657))</f>
        <v/>
      </c>
      <c r="B657" s="4"/>
      <c r="C657" s="13"/>
      <c r="D657" s="14"/>
      <c r="E657" s="14"/>
      <c r="F657" s="15"/>
      <c r="G657" s="16"/>
      <c r="H657" s="16"/>
      <c r="I657" s="17" t="str">
        <f aca="false">IF(OR(G657="",H657=""),"",H657-G657)</f>
        <v/>
      </c>
      <c r="J657" s="4"/>
      <c r="K657" s="4"/>
      <c r="L657" s="18" t="str">
        <f aca="false">IF(F657="","",IF(COUNTIF('DS XE - TAI XE'!$B$6:$B$505,F657)&gt;0,"✓ Có","Chưa có trong DS xe"))</f>
        <v/>
      </c>
    </row>
    <row r="658" customFormat="false" ht="15" hidden="false" customHeight="false" outlineLevel="0" collapsed="false">
      <c r="A658" s="12" t="str">
        <f aca="false">IF(F658="","",COUNTA($F$8:F658))</f>
        <v/>
      </c>
      <c r="B658" s="4"/>
      <c r="C658" s="13"/>
      <c r="D658" s="14"/>
      <c r="E658" s="14"/>
      <c r="F658" s="15"/>
      <c r="G658" s="16"/>
      <c r="H658" s="16"/>
      <c r="I658" s="17" t="str">
        <f aca="false">IF(OR(G658="",H658=""),"",H658-G658)</f>
        <v/>
      </c>
      <c r="J658" s="4"/>
      <c r="K658" s="4"/>
      <c r="L658" s="18" t="str">
        <f aca="false">IF(F658="","",IF(COUNTIF('DS XE - TAI XE'!$B$6:$B$505,F658)&gt;0,"✓ Có","Chưa có trong DS xe"))</f>
        <v/>
      </c>
    </row>
    <row r="659" customFormat="false" ht="15" hidden="false" customHeight="false" outlineLevel="0" collapsed="false">
      <c r="A659" s="12" t="str">
        <f aca="false">IF(F659="","",COUNTA($F$8:F659))</f>
        <v/>
      </c>
      <c r="B659" s="4"/>
      <c r="C659" s="13"/>
      <c r="D659" s="14"/>
      <c r="E659" s="14"/>
      <c r="F659" s="15"/>
      <c r="G659" s="16"/>
      <c r="H659" s="16"/>
      <c r="I659" s="17" t="str">
        <f aca="false">IF(OR(G659="",H659=""),"",H659-G659)</f>
        <v/>
      </c>
      <c r="J659" s="4"/>
      <c r="K659" s="4"/>
      <c r="L659" s="18" t="str">
        <f aca="false">IF(F659="","",IF(COUNTIF('DS XE - TAI XE'!$B$6:$B$505,F659)&gt;0,"✓ Có","Chưa có trong DS xe"))</f>
        <v/>
      </c>
    </row>
    <row r="660" customFormat="false" ht="15" hidden="false" customHeight="false" outlineLevel="0" collapsed="false">
      <c r="A660" s="12" t="str">
        <f aca="false">IF(F660="","",COUNTA($F$8:F660))</f>
        <v/>
      </c>
      <c r="B660" s="4"/>
      <c r="C660" s="13"/>
      <c r="D660" s="14"/>
      <c r="E660" s="14"/>
      <c r="F660" s="15"/>
      <c r="G660" s="16"/>
      <c r="H660" s="16"/>
      <c r="I660" s="17" t="str">
        <f aca="false">IF(OR(G660="",H660=""),"",H660-G660)</f>
        <v/>
      </c>
      <c r="J660" s="4"/>
      <c r="K660" s="4"/>
      <c r="L660" s="18" t="str">
        <f aca="false">IF(F660="","",IF(COUNTIF('DS XE - TAI XE'!$B$6:$B$505,F660)&gt;0,"✓ Có","Chưa có trong DS xe"))</f>
        <v/>
      </c>
    </row>
    <row r="661" customFormat="false" ht="15" hidden="false" customHeight="false" outlineLevel="0" collapsed="false">
      <c r="A661" s="12" t="str">
        <f aca="false">IF(F661="","",COUNTA($F$8:F661))</f>
        <v/>
      </c>
      <c r="B661" s="4"/>
      <c r="C661" s="13"/>
      <c r="D661" s="14"/>
      <c r="E661" s="14"/>
      <c r="F661" s="15"/>
      <c r="G661" s="16"/>
      <c r="H661" s="16"/>
      <c r="I661" s="17" t="str">
        <f aca="false">IF(OR(G661="",H661=""),"",H661-G661)</f>
        <v/>
      </c>
      <c r="J661" s="4"/>
      <c r="K661" s="4"/>
      <c r="L661" s="18" t="str">
        <f aca="false">IF(F661="","",IF(COUNTIF('DS XE - TAI XE'!$B$6:$B$505,F661)&gt;0,"✓ Có","Chưa có trong DS xe"))</f>
        <v/>
      </c>
    </row>
    <row r="662" customFormat="false" ht="15" hidden="false" customHeight="false" outlineLevel="0" collapsed="false">
      <c r="A662" s="12" t="str">
        <f aca="false">IF(F662="","",COUNTA($F$8:F662))</f>
        <v/>
      </c>
      <c r="B662" s="4"/>
      <c r="C662" s="13"/>
      <c r="D662" s="14"/>
      <c r="E662" s="14"/>
      <c r="F662" s="15"/>
      <c r="G662" s="16"/>
      <c r="H662" s="16"/>
      <c r="I662" s="17" t="str">
        <f aca="false">IF(OR(G662="",H662=""),"",H662-G662)</f>
        <v/>
      </c>
      <c r="J662" s="4"/>
      <c r="K662" s="4"/>
      <c r="L662" s="18" t="str">
        <f aca="false">IF(F662="","",IF(COUNTIF('DS XE - TAI XE'!$B$6:$B$505,F662)&gt;0,"✓ Có","Chưa có trong DS xe"))</f>
        <v/>
      </c>
    </row>
    <row r="663" customFormat="false" ht="15" hidden="false" customHeight="false" outlineLevel="0" collapsed="false">
      <c r="A663" s="12" t="str">
        <f aca="false">IF(F663="","",COUNTA($F$8:F663))</f>
        <v/>
      </c>
      <c r="B663" s="4"/>
      <c r="C663" s="13"/>
      <c r="D663" s="14"/>
      <c r="E663" s="14"/>
      <c r="F663" s="15"/>
      <c r="G663" s="16"/>
      <c r="H663" s="16"/>
      <c r="I663" s="17" t="str">
        <f aca="false">IF(OR(G663="",H663=""),"",H663-G663)</f>
        <v/>
      </c>
      <c r="J663" s="4"/>
      <c r="K663" s="4"/>
      <c r="L663" s="18" t="str">
        <f aca="false">IF(F663="","",IF(COUNTIF('DS XE - TAI XE'!$B$6:$B$505,F663)&gt;0,"✓ Có","Chưa có trong DS xe"))</f>
        <v/>
      </c>
    </row>
    <row r="664" customFormat="false" ht="15" hidden="false" customHeight="false" outlineLevel="0" collapsed="false">
      <c r="A664" s="12" t="str">
        <f aca="false">IF(F664="","",COUNTA($F$8:F664))</f>
        <v/>
      </c>
      <c r="B664" s="4"/>
      <c r="C664" s="13"/>
      <c r="D664" s="14"/>
      <c r="E664" s="14"/>
      <c r="F664" s="15"/>
      <c r="G664" s="16"/>
      <c r="H664" s="16"/>
      <c r="I664" s="17" t="str">
        <f aca="false">IF(OR(G664="",H664=""),"",H664-G664)</f>
        <v/>
      </c>
      <c r="J664" s="4"/>
      <c r="K664" s="4"/>
      <c r="L664" s="18" t="str">
        <f aca="false">IF(F664="","",IF(COUNTIF('DS XE - TAI XE'!$B$6:$B$505,F664)&gt;0,"✓ Có","Chưa có trong DS xe"))</f>
        <v/>
      </c>
    </row>
    <row r="665" customFormat="false" ht="15" hidden="false" customHeight="false" outlineLevel="0" collapsed="false">
      <c r="A665" s="12" t="str">
        <f aca="false">IF(F665="","",COUNTA($F$8:F665))</f>
        <v/>
      </c>
      <c r="B665" s="4"/>
      <c r="C665" s="13"/>
      <c r="D665" s="14"/>
      <c r="E665" s="14"/>
      <c r="F665" s="15"/>
      <c r="G665" s="16"/>
      <c r="H665" s="16"/>
      <c r="I665" s="17" t="str">
        <f aca="false">IF(OR(G665="",H665=""),"",H665-G665)</f>
        <v/>
      </c>
      <c r="J665" s="4"/>
      <c r="K665" s="4"/>
      <c r="L665" s="18" t="str">
        <f aca="false">IF(F665="","",IF(COUNTIF('DS XE - TAI XE'!$B$6:$B$505,F665)&gt;0,"✓ Có","Chưa có trong DS xe"))</f>
        <v/>
      </c>
    </row>
    <row r="666" customFormat="false" ht="15" hidden="false" customHeight="false" outlineLevel="0" collapsed="false">
      <c r="A666" s="12" t="str">
        <f aca="false">IF(F666="","",COUNTA($F$8:F666))</f>
        <v/>
      </c>
      <c r="B666" s="4"/>
      <c r="C666" s="13"/>
      <c r="D666" s="14"/>
      <c r="E666" s="14"/>
      <c r="F666" s="15"/>
      <c r="G666" s="16"/>
      <c r="H666" s="16"/>
      <c r="I666" s="17" t="str">
        <f aca="false">IF(OR(G666="",H666=""),"",H666-G666)</f>
        <v/>
      </c>
      <c r="J666" s="4"/>
      <c r="K666" s="4"/>
      <c r="L666" s="18" t="str">
        <f aca="false">IF(F666="","",IF(COUNTIF('DS XE - TAI XE'!$B$6:$B$505,F666)&gt;0,"✓ Có","Chưa có trong DS xe"))</f>
        <v/>
      </c>
    </row>
    <row r="667" customFormat="false" ht="15" hidden="false" customHeight="false" outlineLevel="0" collapsed="false">
      <c r="A667" s="12" t="str">
        <f aca="false">IF(F667="","",COUNTA($F$8:F667))</f>
        <v/>
      </c>
      <c r="B667" s="4"/>
      <c r="C667" s="13"/>
      <c r="D667" s="14"/>
      <c r="E667" s="14"/>
      <c r="F667" s="15"/>
      <c r="G667" s="16"/>
      <c r="H667" s="16"/>
      <c r="I667" s="17" t="str">
        <f aca="false">IF(OR(G667="",H667=""),"",H667-G667)</f>
        <v/>
      </c>
      <c r="J667" s="4"/>
      <c r="K667" s="4"/>
      <c r="L667" s="18" t="str">
        <f aca="false">IF(F667="","",IF(COUNTIF('DS XE - TAI XE'!$B$6:$B$505,F667)&gt;0,"✓ Có","Chưa có trong DS xe"))</f>
        <v/>
      </c>
    </row>
    <row r="668" customFormat="false" ht="15" hidden="false" customHeight="false" outlineLevel="0" collapsed="false">
      <c r="A668" s="12" t="str">
        <f aca="false">IF(F668="","",COUNTA($F$8:F668))</f>
        <v/>
      </c>
      <c r="B668" s="4"/>
      <c r="C668" s="13"/>
      <c r="D668" s="14"/>
      <c r="E668" s="14"/>
      <c r="F668" s="15"/>
      <c r="G668" s="16"/>
      <c r="H668" s="16"/>
      <c r="I668" s="17" t="str">
        <f aca="false">IF(OR(G668="",H668=""),"",H668-G668)</f>
        <v/>
      </c>
      <c r="J668" s="4"/>
      <c r="K668" s="4"/>
      <c r="L668" s="18" t="str">
        <f aca="false">IF(F668="","",IF(COUNTIF('DS XE - TAI XE'!$B$6:$B$505,F668)&gt;0,"✓ Có","Chưa có trong DS xe"))</f>
        <v/>
      </c>
    </row>
    <row r="669" customFormat="false" ht="15" hidden="false" customHeight="false" outlineLevel="0" collapsed="false">
      <c r="A669" s="12" t="str">
        <f aca="false">IF(F669="","",COUNTA($F$8:F669))</f>
        <v/>
      </c>
      <c r="B669" s="4"/>
      <c r="C669" s="13"/>
      <c r="D669" s="14"/>
      <c r="E669" s="14"/>
      <c r="F669" s="15"/>
      <c r="G669" s="16"/>
      <c r="H669" s="16"/>
      <c r="I669" s="17" t="str">
        <f aca="false">IF(OR(G669="",H669=""),"",H669-G669)</f>
        <v/>
      </c>
      <c r="J669" s="4"/>
      <c r="K669" s="4"/>
      <c r="L669" s="18" t="str">
        <f aca="false">IF(F669="","",IF(COUNTIF('DS XE - TAI XE'!$B$6:$B$505,F669)&gt;0,"✓ Có","Chưa có trong DS xe"))</f>
        <v/>
      </c>
    </row>
    <row r="670" customFormat="false" ht="15" hidden="false" customHeight="false" outlineLevel="0" collapsed="false">
      <c r="A670" s="12" t="str">
        <f aca="false">IF(F670="","",COUNTA($F$8:F670))</f>
        <v/>
      </c>
      <c r="B670" s="4"/>
      <c r="C670" s="13"/>
      <c r="D670" s="14"/>
      <c r="E670" s="14"/>
      <c r="F670" s="15"/>
      <c r="G670" s="16"/>
      <c r="H670" s="16"/>
      <c r="I670" s="17" t="str">
        <f aca="false">IF(OR(G670="",H670=""),"",H670-G670)</f>
        <v/>
      </c>
      <c r="J670" s="4"/>
      <c r="K670" s="4"/>
      <c r="L670" s="18" t="str">
        <f aca="false">IF(F670="","",IF(COUNTIF('DS XE - TAI XE'!$B$6:$B$505,F670)&gt;0,"✓ Có","Chưa có trong DS xe"))</f>
        <v/>
      </c>
    </row>
    <row r="671" customFormat="false" ht="15" hidden="false" customHeight="false" outlineLevel="0" collapsed="false">
      <c r="A671" s="12" t="str">
        <f aca="false">IF(F671="","",COUNTA($F$8:F671))</f>
        <v/>
      </c>
      <c r="B671" s="4"/>
      <c r="C671" s="13"/>
      <c r="D671" s="14"/>
      <c r="E671" s="14"/>
      <c r="F671" s="15"/>
      <c r="G671" s="16"/>
      <c r="H671" s="16"/>
      <c r="I671" s="17" t="str">
        <f aca="false">IF(OR(G671="",H671=""),"",H671-G671)</f>
        <v/>
      </c>
      <c r="J671" s="4"/>
      <c r="K671" s="4"/>
      <c r="L671" s="18" t="str">
        <f aca="false">IF(F671="","",IF(COUNTIF('DS XE - TAI XE'!$B$6:$B$505,F671)&gt;0,"✓ Có","Chưa có trong DS xe"))</f>
        <v/>
      </c>
    </row>
    <row r="672" customFormat="false" ht="15" hidden="false" customHeight="false" outlineLevel="0" collapsed="false">
      <c r="A672" s="12" t="str">
        <f aca="false">IF(F672="","",COUNTA($F$8:F672))</f>
        <v/>
      </c>
      <c r="B672" s="4"/>
      <c r="C672" s="13"/>
      <c r="D672" s="14"/>
      <c r="E672" s="14"/>
      <c r="F672" s="15"/>
      <c r="G672" s="16"/>
      <c r="H672" s="16"/>
      <c r="I672" s="17" t="str">
        <f aca="false">IF(OR(G672="",H672=""),"",H672-G672)</f>
        <v/>
      </c>
      <c r="J672" s="4"/>
      <c r="K672" s="4"/>
      <c r="L672" s="18" t="str">
        <f aca="false">IF(F672="","",IF(COUNTIF('DS XE - TAI XE'!$B$6:$B$505,F672)&gt;0,"✓ Có","Chưa có trong DS xe"))</f>
        <v/>
      </c>
    </row>
    <row r="673" customFormat="false" ht="15" hidden="false" customHeight="false" outlineLevel="0" collapsed="false">
      <c r="A673" s="12" t="str">
        <f aca="false">IF(F673="","",COUNTA($F$8:F673))</f>
        <v/>
      </c>
      <c r="B673" s="4"/>
      <c r="C673" s="13"/>
      <c r="D673" s="14"/>
      <c r="E673" s="14"/>
      <c r="F673" s="15"/>
      <c r="G673" s="16"/>
      <c r="H673" s="16"/>
      <c r="I673" s="17" t="str">
        <f aca="false">IF(OR(G673="",H673=""),"",H673-G673)</f>
        <v/>
      </c>
      <c r="J673" s="4"/>
      <c r="K673" s="4"/>
      <c r="L673" s="18" t="str">
        <f aca="false">IF(F673="","",IF(COUNTIF('DS XE - TAI XE'!$B$6:$B$505,F673)&gt;0,"✓ Có","Chưa có trong DS xe"))</f>
        <v/>
      </c>
    </row>
    <row r="674" customFormat="false" ht="15" hidden="false" customHeight="false" outlineLevel="0" collapsed="false">
      <c r="A674" s="12" t="str">
        <f aca="false">IF(F674="","",COUNTA($F$8:F674))</f>
        <v/>
      </c>
      <c r="B674" s="4"/>
      <c r="C674" s="13"/>
      <c r="D674" s="14"/>
      <c r="E674" s="14"/>
      <c r="F674" s="15"/>
      <c r="G674" s="16"/>
      <c r="H674" s="16"/>
      <c r="I674" s="17" t="str">
        <f aca="false">IF(OR(G674="",H674=""),"",H674-G674)</f>
        <v/>
      </c>
      <c r="J674" s="4"/>
      <c r="K674" s="4"/>
      <c r="L674" s="18" t="str">
        <f aca="false">IF(F674="","",IF(COUNTIF('DS XE - TAI XE'!$B$6:$B$505,F674)&gt;0,"✓ Có","Chưa có trong DS xe"))</f>
        <v/>
      </c>
    </row>
    <row r="675" customFormat="false" ht="15" hidden="false" customHeight="false" outlineLevel="0" collapsed="false">
      <c r="A675" s="12" t="str">
        <f aca="false">IF(F675="","",COUNTA($F$8:F675))</f>
        <v/>
      </c>
      <c r="B675" s="4"/>
      <c r="C675" s="13"/>
      <c r="D675" s="14"/>
      <c r="E675" s="14"/>
      <c r="F675" s="15"/>
      <c r="G675" s="16"/>
      <c r="H675" s="16"/>
      <c r="I675" s="17" t="str">
        <f aca="false">IF(OR(G675="",H675=""),"",H675-G675)</f>
        <v/>
      </c>
      <c r="J675" s="4"/>
      <c r="K675" s="4"/>
      <c r="L675" s="18" t="str">
        <f aca="false">IF(F675="","",IF(COUNTIF('DS XE - TAI XE'!$B$6:$B$505,F675)&gt;0,"✓ Có","Chưa có trong DS xe"))</f>
        <v/>
      </c>
    </row>
    <row r="676" customFormat="false" ht="15" hidden="false" customHeight="false" outlineLevel="0" collapsed="false">
      <c r="A676" s="12" t="str">
        <f aca="false">IF(F676="","",COUNTA($F$8:F676))</f>
        <v/>
      </c>
      <c r="B676" s="4"/>
      <c r="C676" s="13"/>
      <c r="D676" s="14"/>
      <c r="E676" s="14"/>
      <c r="F676" s="15"/>
      <c r="G676" s="16"/>
      <c r="H676" s="16"/>
      <c r="I676" s="17" t="str">
        <f aca="false">IF(OR(G676="",H676=""),"",H676-G676)</f>
        <v/>
      </c>
      <c r="J676" s="4"/>
      <c r="K676" s="4"/>
      <c r="L676" s="18" t="str">
        <f aca="false">IF(F676="","",IF(COUNTIF('DS XE - TAI XE'!$B$6:$B$505,F676)&gt;0,"✓ Có","Chưa có trong DS xe"))</f>
        <v/>
      </c>
    </row>
    <row r="677" customFormat="false" ht="15" hidden="false" customHeight="false" outlineLevel="0" collapsed="false">
      <c r="A677" s="12" t="str">
        <f aca="false">IF(F677="","",COUNTA($F$8:F677))</f>
        <v/>
      </c>
      <c r="B677" s="4"/>
      <c r="C677" s="13"/>
      <c r="D677" s="14"/>
      <c r="E677" s="14"/>
      <c r="F677" s="15"/>
      <c r="G677" s="16"/>
      <c r="H677" s="16"/>
      <c r="I677" s="17" t="str">
        <f aca="false">IF(OR(G677="",H677=""),"",H677-G677)</f>
        <v/>
      </c>
      <c r="J677" s="4"/>
      <c r="K677" s="4"/>
      <c r="L677" s="18" t="str">
        <f aca="false">IF(F677="","",IF(COUNTIF('DS XE - TAI XE'!$B$6:$B$505,F677)&gt;0,"✓ Có","Chưa có trong DS xe"))</f>
        <v/>
      </c>
    </row>
    <row r="678" customFormat="false" ht="15" hidden="false" customHeight="false" outlineLevel="0" collapsed="false">
      <c r="A678" s="12" t="str">
        <f aca="false">IF(F678="","",COUNTA($F$8:F678))</f>
        <v/>
      </c>
      <c r="B678" s="4"/>
      <c r="C678" s="13"/>
      <c r="D678" s="14"/>
      <c r="E678" s="14"/>
      <c r="F678" s="15"/>
      <c r="G678" s="16"/>
      <c r="H678" s="16"/>
      <c r="I678" s="17" t="str">
        <f aca="false">IF(OR(G678="",H678=""),"",H678-G678)</f>
        <v/>
      </c>
      <c r="J678" s="4"/>
      <c r="K678" s="4"/>
      <c r="L678" s="18" t="str">
        <f aca="false">IF(F678="","",IF(COUNTIF('DS XE - TAI XE'!$B$6:$B$505,F678)&gt;0,"✓ Có","Chưa có trong DS xe"))</f>
        <v/>
      </c>
    </row>
    <row r="679" customFormat="false" ht="15" hidden="false" customHeight="false" outlineLevel="0" collapsed="false">
      <c r="A679" s="12" t="str">
        <f aca="false">IF(F679="","",COUNTA($F$8:F679))</f>
        <v/>
      </c>
      <c r="B679" s="4"/>
      <c r="C679" s="13"/>
      <c r="D679" s="14"/>
      <c r="E679" s="14"/>
      <c r="F679" s="15"/>
      <c r="G679" s="16"/>
      <c r="H679" s="16"/>
      <c r="I679" s="17" t="str">
        <f aca="false">IF(OR(G679="",H679=""),"",H679-G679)</f>
        <v/>
      </c>
      <c r="J679" s="4"/>
      <c r="K679" s="4"/>
      <c r="L679" s="18" t="str">
        <f aca="false">IF(F679="","",IF(COUNTIF('DS XE - TAI XE'!$B$6:$B$505,F679)&gt;0,"✓ Có","Chưa có trong DS xe"))</f>
        <v/>
      </c>
    </row>
    <row r="680" customFormat="false" ht="15" hidden="false" customHeight="false" outlineLevel="0" collapsed="false">
      <c r="A680" s="12" t="str">
        <f aca="false">IF(F680="","",COUNTA($F$8:F680))</f>
        <v/>
      </c>
      <c r="B680" s="4"/>
      <c r="C680" s="13"/>
      <c r="D680" s="14"/>
      <c r="E680" s="14"/>
      <c r="F680" s="15"/>
      <c r="G680" s="16"/>
      <c r="H680" s="16"/>
      <c r="I680" s="17" t="str">
        <f aca="false">IF(OR(G680="",H680=""),"",H680-G680)</f>
        <v/>
      </c>
      <c r="J680" s="4"/>
      <c r="K680" s="4"/>
      <c r="L680" s="18" t="str">
        <f aca="false">IF(F680="","",IF(COUNTIF('DS XE - TAI XE'!$B$6:$B$505,F680)&gt;0,"✓ Có","Chưa có trong DS xe"))</f>
        <v/>
      </c>
    </row>
    <row r="681" customFormat="false" ht="15" hidden="false" customHeight="false" outlineLevel="0" collapsed="false">
      <c r="A681" s="12" t="str">
        <f aca="false">IF(F681="","",COUNTA($F$8:F681))</f>
        <v/>
      </c>
      <c r="B681" s="4"/>
      <c r="C681" s="13"/>
      <c r="D681" s="14"/>
      <c r="E681" s="14"/>
      <c r="F681" s="15"/>
      <c r="G681" s="16"/>
      <c r="H681" s="16"/>
      <c r="I681" s="17" t="str">
        <f aca="false">IF(OR(G681="",H681=""),"",H681-G681)</f>
        <v/>
      </c>
      <c r="J681" s="4"/>
      <c r="K681" s="4"/>
      <c r="L681" s="18" t="str">
        <f aca="false">IF(F681="","",IF(COUNTIF('DS XE - TAI XE'!$B$6:$B$505,F681)&gt;0,"✓ Có","Chưa có trong DS xe"))</f>
        <v/>
      </c>
    </row>
    <row r="682" customFormat="false" ht="15" hidden="false" customHeight="false" outlineLevel="0" collapsed="false">
      <c r="A682" s="12" t="str">
        <f aca="false">IF(F682="","",COUNTA($F$8:F682))</f>
        <v/>
      </c>
      <c r="B682" s="4"/>
      <c r="C682" s="13"/>
      <c r="D682" s="14"/>
      <c r="E682" s="14"/>
      <c r="F682" s="15"/>
      <c r="G682" s="16"/>
      <c r="H682" s="16"/>
      <c r="I682" s="17" t="str">
        <f aca="false">IF(OR(G682="",H682=""),"",H682-G682)</f>
        <v/>
      </c>
      <c r="J682" s="4"/>
      <c r="K682" s="4"/>
      <c r="L682" s="18" t="str">
        <f aca="false">IF(F682="","",IF(COUNTIF('DS XE - TAI XE'!$B$6:$B$505,F682)&gt;0,"✓ Có","Chưa có trong DS xe"))</f>
        <v/>
      </c>
    </row>
    <row r="683" customFormat="false" ht="15" hidden="false" customHeight="false" outlineLevel="0" collapsed="false">
      <c r="A683" s="12" t="str">
        <f aca="false">IF(F683="","",COUNTA($F$8:F683))</f>
        <v/>
      </c>
      <c r="B683" s="4"/>
      <c r="C683" s="13"/>
      <c r="D683" s="14"/>
      <c r="E683" s="14"/>
      <c r="F683" s="15"/>
      <c r="G683" s="16"/>
      <c r="H683" s="16"/>
      <c r="I683" s="17" t="str">
        <f aca="false">IF(OR(G683="",H683=""),"",H683-G683)</f>
        <v/>
      </c>
      <c r="J683" s="4"/>
      <c r="K683" s="4"/>
      <c r="L683" s="18" t="str">
        <f aca="false">IF(F683="","",IF(COUNTIF('DS XE - TAI XE'!$B$6:$B$505,F683)&gt;0,"✓ Có","Chưa có trong DS xe"))</f>
        <v/>
      </c>
    </row>
    <row r="684" customFormat="false" ht="15" hidden="false" customHeight="false" outlineLevel="0" collapsed="false">
      <c r="A684" s="12" t="str">
        <f aca="false">IF(F684="","",COUNTA($F$8:F684))</f>
        <v/>
      </c>
      <c r="B684" s="4"/>
      <c r="C684" s="13"/>
      <c r="D684" s="14"/>
      <c r="E684" s="14"/>
      <c r="F684" s="15"/>
      <c r="G684" s="16"/>
      <c r="H684" s="16"/>
      <c r="I684" s="17" t="str">
        <f aca="false">IF(OR(G684="",H684=""),"",H684-G684)</f>
        <v/>
      </c>
      <c r="J684" s="4"/>
      <c r="K684" s="4"/>
      <c r="L684" s="18" t="str">
        <f aca="false">IF(F684="","",IF(COUNTIF('DS XE - TAI XE'!$B$6:$B$505,F684)&gt;0,"✓ Có","Chưa có trong DS xe"))</f>
        <v/>
      </c>
    </row>
    <row r="685" customFormat="false" ht="15" hidden="false" customHeight="false" outlineLevel="0" collapsed="false">
      <c r="A685" s="12" t="str">
        <f aca="false">IF(F685="","",COUNTA($F$8:F685))</f>
        <v/>
      </c>
      <c r="B685" s="4"/>
      <c r="C685" s="13"/>
      <c r="D685" s="14"/>
      <c r="E685" s="14"/>
      <c r="F685" s="15"/>
      <c r="G685" s="16"/>
      <c r="H685" s="16"/>
      <c r="I685" s="17" t="str">
        <f aca="false">IF(OR(G685="",H685=""),"",H685-G685)</f>
        <v/>
      </c>
      <c r="J685" s="4"/>
      <c r="K685" s="4"/>
      <c r="L685" s="18" t="str">
        <f aca="false">IF(F685="","",IF(COUNTIF('DS XE - TAI XE'!$B$6:$B$505,F685)&gt;0,"✓ Có","Chưa có trong DS xe"))</f>
        <v/>
      </c>
    </row>
    <row r="686" customFormat="false" ht="15" hidden="false" customHeight="false" outlineLevel="0" collapsed="false">
      <c r="A686" s="12" t="str">
        <f aca="false">IF(F686="","",COUNTA($F$8:F686))</f>
        <v/>
      </c>
      <c r="B686" s="4"/>
      <c r="C686" s="13"/>
      <c r="D686" s="14"/>
      <c r="E686" s="14"/>
      <c r="F686" s="15"/>
      <c r="G686" s="16"/>
      <c r="H686" s="16"/>
      <c r="I686" s="17" t="str">
        <f aca="false">IF(OR(G686="",H686=""),"",H686-G686)</f>
        <v/>
      </c>
      <c r="J686" s="4"/>
      <c r="K686" s="4"/>
      <c r="L686" s="18" t="str">
        <f aca="false">IF(F686="","",IF(COUNTIF('DS XE - TAI XE'!$B$6:$B$505,F686)&gt;0,"✓ Có","Chưa có trong DS xe"))</f>
        <v/>
      </c>
    </row>
    <row r="687" customFormat="false" ht="15" hidden="false" customHeight="false" outlineLevel="0" collapsed="false">
      <c r="A687" s="12" t="str">
        <f aca="false">IF(F687="","",COUNTA($F$8:F687))</f>
        <v/>
      </c>
      <c r="B687" s="4"/>
      <c r="C687" s="13"/>
      <c r="D687" s="14"/>
      <c r="E687" s="14"/>
      <c r="F687" s="15"/>
      <c r="G687" s="16"/>
      <c r="H687" s="16"/>
      <c r="I687" s="17" t="str">
        <f aca="false">IF(OR(G687="",H687=""),"",H687-G687)</f>
        <v/>
      </c>
      <c r="J687" s="4"/>
      <c r="K687" s="4"/>
      <c r="L687" s="18" t="str">
        <f aca="false">IF(F687="","",IF(COUNTIF('DS XE - TAI XE'!$B$6:$B$505,F687)&gt;0,"✓ Có","Chưa có trong DS xe"))</f>
        <v/>
      </c>
    </row>
    <row r="688" customFormat="false" ht="15" hidden="false" customHeight="false" outlineLevel="0" collapsed="false">
      <c r="A688" s="12" t="str">
        <f aca="false">IF(F688="","",COUNTA($F$8:F688))</f>
        <v/>
      </c>
      <c r="B688" s="4"/>
      <c r="C688" s="13"/>
      <c r="D688" s="14"/>
      <c r="E688" s="14"/>
      <c r="F688" s="15"/>
      <c r="G688" s="16"/>
      <c r="H688" s="16"/>
      <c r="I688" s="17" t="str">
        <f aca="false">IF(OR(G688="",H688=""),"",H688-G688)</f>
        <v/>
      </c>
      <c r="J688" s="4"/>
      <c r="K688" s="4"/>
      <c r="L688" s="18" t="str">
        <f aca="false">IF(F688="","",IF(COUNTIF('DS XE - TAI XE'!$B$6:$B$505,F688)&gt;0,"✓ Có","Chưa có trong DS xe"))</f>
        <v/>
      </c>
    </row>
    <row r="689" customFormat="false" ht="15" hidden="false" customHeight="false" outlineLevel="0" collapsed="false">
      <c r="A689" s="12" t="str">
        <f aca="false">IF(F689="","",COUNTA($F$8:F689))</f>
        <v/>
      </c>
      <c r="B689" s="4"/>
      <c r="C689" s="13"/>
      <c r="D689" s="14"/>
      <c r="E689" s="14"/>
      <c r="F689" s="15"/>
      <c r="G689" s="16"/>
      <c r="H689" s="16"/>
      <c r="I689" s="17" t="str">
        <f aca="false">IF(OR(G689="",H689=""),"",H689-G689)</f>
        <v/>
      </c>
      <c r="J689" s="4"/>
      <c r="K689" s="4"/>
      <c r="L689" s="18" t="str">
        <f aca="false">IF(F689="","",IF(COUNTIF('DS XE - TAI XE'!$B$6:$B$505,F689)&gt;0,"✓ Có","Chưa có trong DS xe"))</f>
        <v/>
      </c>
    </row>
    <row r="690" customFormat="false" ht="15" hidden="false" customHeight="false" outlineLevel="0" collapsed="false">
      <c r="A690" s="12" t="str">
        <f aca="false">IF(F690="","",COUNTA($F$8:F690))</f>
        <v/>
      </c>
      <c r="B690" s="4"/>
      <c r="C690" s="13"/>
      <c r="D690" s="14"/>
      <c r="E690" s="14"/>
      <c r="F690" s="15"/>
      <c r="G690" s="16"/>
      <c r="H690" s="16"/>
      <c r="I690" s="17" t="str">
        <f aca="false">IF(OR(G690="",H690=""),"",H690-G690)</f>
        <v/>
      </c>
      <c r="J690" s="4"/>
      <c r="K690" s="4"/>
      <c r="L690" s="18" t="str">
        <f aca="false">IF(F690="","",IF(COUNTIF('DS XE - TAI XE'!$B$6:$B$505,F690)&gt;0,"✓ Có","Chưa có trong DS xe"))</f>
        <v/>
      </c>
    </row>
    <row r="691" customFormat="false" ht="15" hidden="false" customHeight="false" outlineLevel="0" collapsed="false">
      <c r="A691" s="12" t="str">
        <f aca="false">IF(F691="","",COUNTA($F$8:F691))</f>
        <v/>
      </c>
      <c r="B691" s="4"/>
      <c r="C691" s="13"/>
      <c r="D691" s="14"/>
      <c r="E691" s="14"/>
      <c r="F691" s="15"/>
      <c r="G691" s="16"/>
      <c r="H691" s="16"/>
      <c r="I691" s="17" t="str">
        <f aca="false">IF(OR(G691="",H691=""),"",H691-G691)</f>
        <v/>
      </c>
      <c r="J691" s="4"/>
      <c r="K691" s="4"/>
      <c r="L691" s="18" t="str">
        <f aca="false">IF(F691="","",IF(COUNTIF('DS XE - TAI XE'!$B$6:$B$505,F691)&gt;0,"✓ Có","Chưa có trong DS xe"))</f>
        <v/>
      </c>
    </row>
    <row r="692" customFormat="false" ht="15" hidden="false" customHeight="false" outlineLevel="0" collapsed="false">
      <c r="A692" s="12" t="str">
        <f aca="false">IF(F692="","",COUNTA($F$8:F692))</f>
        <v/>
      </c>
      <c r="B692" s="4"/>
      <c r="C692" s="13"/>
      <c r="D692" s="14"/>
      <c r="E692" s="14"/>
      <c r="F692" s="15"/>
      <c r="G692" s="16"/>
      <c r="H692" s="16"/>
      <c r="I692" s="17" t="str">
        <f aca="false">IF(OR(G692="",H692=""),"",H692-G692)</f>
        <v/>
      </c>
      <c r="J692" s="4"/>
      <c r="K692" s="4"/>
      <c r="L692" s="18" t="str">
        <f aca="false">IF(F692="","",IF(COUNTIF('DS XE - TAI XE'!$B$6:$B$505,F692)&gt;0,"✓ Có","Chưa có trong DS xe"))</f>
        <v/>
      </c>
    </row>
    <row r="693" customFormat="false" ht="15" hidden="false" customHeight="false" outlineLevel="0" collapsed="false">
      <c r="A693" s="12" t="str">
        <f aca="false">IF(F693="","",COUNTA($F$8:F693))</f>
        <v/>
      </c>
      <c r="B693" s="4"/>
      <c r="C693" s="13"/>
      <c r="D693" s="14"/>
      <c r="E693" s="14"/>
      <c r="F693" s="15"/>
      <c r="G693" s="16"/>
      <c r="H693" s="16"/>
      <c r="I693" s="17" t="str">
        <f aca="false">IF(OR(G693="",H693=""),"",H693-G693)</f>
        <v/>
      </c>
      <c r="J693" s="4"/>
      <c r="K693" s="4"/>
      <c r="L693" s="18" t="str">
        <f aca="false">IF(F693="","",IF(COUNTIF('DS XE - TAI XE'!$B$6:$B$505,F693)&gt;0,"✓ Có","Chưa có trong DS xe"))</f>
        <v/>
      </c>
    </row>
    <row r="694" customFormat="false" ht="15" hidden="false" customHeight="false" outlineLevel="0" collapsed="false">
      <c r="A694" s="12" t="str">
        <f aca="false">IF(F694="","",COUNTA($F$8:F694))</f>
        <v/>
      </c>
      <c r="B694" s="4"/>
      <c r="C694" s="13"/>
      <c r="D694" s="14"/>
      <c r="E694" s="14"/>
      <c r="F694" s="15"/>
      <c r="G694" s="16"/>
      <c r="H694" s="16"/>
      <c r="I694" s="17" t="str">
        <f aca="false">IF(OR(G694="",H694=""),"",H694-G694)</f>
        <v/>
      </c>
      <c r="J694" s="4"/>
      <c r="K694" s="4"/>
      <c r="L694" s="18" t="str">
        <f aca="false">IF(F694="","",IF(COUNTIF('DS XE - TAI XE'!$B$6:$B$505,F694)&gt;0,"✓ Có","Chưa có trong DS xe"))</f>
        <v/>
      </c>
    </row>
    <row r="695" customFormat="false" ht="15" hidden="false" customHeight="false" outlineLevel="0" collapsed="false">
      <c r="A695" s="12" t="str">
        <f aca="false">IF(F695="","",COUNTA($F$8:F695))</f>
        <v/>
      </c>
      <c r="B695" s="4"/>
      <c r="C695" s="13"/>
      <c r="D695" s="14"/>
      <c r="E695" s="14"/>
      <c r="F695" s="15"/>
      <c r="G695" s="16"/>
      <c r="H695" s="16"/>
      <c r="I695" s="17" t="str">
        <f aca="false">IF(OR(G695="",H695=""),"",H695-G695)</f>
        <v/>
      </c>
      <c r="J695" s="4"/>
      <c r="K695" s="4"/>
      <c r="L695" s="18" t="str">
        <f aca="false">IF(F695="","",IF(COUNTIF('DS XE - TAI XE'!$B$6:$B$505,F695)&gt;0,"✓ Có","Chưa có trong DS xe"))</f>
        <v/>
      </c>
    </row>
    <row r="696" customFormat="false" ht="15" hidden="false" customHeight="false" outlineLevel="0" collapsed="false">
      <c r="A696" s="12" t="str">
        <f aca="false">IF(F696="","",COUNTA($F$8:F696))</f>
        <v/>
      </c>
      <c r="B696" s="4"/>
      <c r="C696" s="13"/>
      <c r="D696" s="14"/>
      <c r="E696" s="14"/>
      <c r="F696" s="15"/>
      <c r="G696" s="16"/>
      <c r="H696" s="16"/>
      <c r="I696" s="17" t="str">
        <f aca="false">IF(OR(G696="",H696=""),"",H696-G696)</f>
        <v/>
      </c>
      <c r="J696" s="4"/>
      <c r="K696" s="4"/>
      <c r="L696" s="18" t="str">
        <f aca="false">IF(F696="","",IF(COUNTIF('DS XE - TAI XE'!$B$6:$B$505,F696)&gt;0,"✓ Có","Chưa có trong DS xe"))</f>
        <v/>
      </c>
    </row>
    <row r="697" customFormat="false" ht="15" hidden="false" customHeight="false" outlineLevel="0" collapsed="false">
      <c r="A697" s="12" t="str">
        <f aca="false">IF(F697="","",COUNTA($F$8:F697))</f>
        <v/>
      </c>
      <c r="B697" s="4"/>
      <c r="C697" s="13"/>
      <c r="D697" s="14"/>
      <c r="E697" s="14"/>
      <c r="F697" s="15"/>
      <c r="G697" s="16"/>
      <c r="H697" s="16"/>
      <c r="I697" s="17" t="str">
        <f aca="false">IF(OR(G697="",H697=""),"",H697-G697)</f>
        <v/>
      </c>
      <c r="J697" s="4"/>
      <c r="K697" s="4"/>
      <c r="L697" s="18" t="str">
        <f aca="false">IF(F697="","",IF(COUNTIF('DS XE - TAI XE'!$B$6:$B$505,F697)&gt;0,"✓ Có","Chưa có trong DS xe"))</f>
        <v/>
      </c>
    </row>
    <row r="698" customFormat="false" ht="15" hidden="false" customHeight="false" outlineLevel="0" collapsed="false">
      <c r="A698" s="12" t="str">
        <f aca="false">IF(F698="","",COUNTA($F$8:F698))</f>
        <v/>
      </c>
      <c r="B698" s="4"/>
      <c r="C698" s="13"/>
      <c r="D698" s="14"/>
      <c r="E698" s="14"/>
      <c r="F698" s="15"/>
      <c r="G698" s="16"/>
      <c r="H698" s="16"/>
      <c r="I698" s="17" t="str">
        <f aca="false">IF(OR(G698="",H698=""),"",H698-G698)</f>
        <v/>
      </c>
      <c r="J698" s="4"/>
      <c r="K698" s="4"/>
      <c r="L698" s="18" t="str">
        <f aca="false">IF(F698="","",IF(COUNTIF('DS XE - TAI XE'!$B$6:$B$505,F698)&gt;0,"✓ Có","Chưa có trong DS xe"))</f>
        <v/>
      </c>
    </row>
    <row r="699" customFormat="false" ht="15" hidden="false" customHeight="false" outlineLevel="0" collapsed="false">
      <c r="A699" s="12" t="str">
        <f aca="false">IF(F699="","",COUNTA($F$8:F699))</f>
        <v/>
      </c>
      <c r="B699" s="4"/>
      <c r="C699" s="13"/>
      <c r="D699" s="14"/>
      <c r="E699" s="14"/>
      <c r="F699" s="15"/>
      <c r="G699" s="16"/>
      <c r="H699" s="16"/>
      <c r="I699" s="17" t="str">
        <f aca="false">IF(OR(G699="",H699=""),"",H699-G699)</f>
        <v/>
      </c>
      <c r="J699" s="4"/>
      <c r="K699" s="4"/>
      <c r="L699" s="18" t="str">
        <f aca="false">IF(F699="","",IF(COUNTIF('DS XE - TAI XE'!$B$6:$B$505,F699)&gt;0,"✓ Có","Chưa có trong DS xe"))</f>
        <v/>
      </c>
    </row>
    <row r="700" customFormat="false" ht="15" hidden="false" customHeight="false" outlineLevel="0" collapsed="false">
      <c r="A700" s="12" t="str">
        <f aca="false">IF(F700="","",COUNTA($F$8:F700))</f>
        <v/>
      </c>
      <c r="B700" s="4"/>
      <c r="C700" s="13"/>
      <c r="D700" s="14"/>
      <c r="E700" s="14"/>
      <c r="F700" s="15"/>
      <c r="G700" s="16"/>
      <c r="H700" s="16"/>
      <c r="I700" s="17" t="str">
        <f aca="false">IF(OR(G700="",H700=""),"",H700-G700)</f>
        <v/>
      </c>
      <c r="J700" s="4"/>
      <c r="K700" s="4"/>
      <c r="L700" s="18" t="str">
        <f aca="false">IF(F700="","",IF(COUNTIF('DS XE - TAI XE'!$B$6:$B$505,F700)&gt;0,"✓ Có","Chưa có trong DS xe"))</f>
        <v/>
      </c>
    </row>
    <row r="701" customFormat="false" ht="15" hidden="false" customHeight="false" outlineLevel="0" collapsed="false">
      <c r="A701" s="12" t="str">
        <f aca="false">IF(F701="","",COUNTA($F$8:F701))</f>
        <v/>
      </c>
      <c r="B701" s="4"/>
      <c r="C701" s="13"/>
      <c r="D701" s="14"/>
      <c r="E701" s="14"/>
      <c r="F701" s="15"/>
      <c r="G701" s="16"/>
      <c r="H701" s="16"/>
      <c r="I701" s="17" t="str">
        <f aca="false">IF(OR(G701="",H701=""),"",H701-G701)</f>
        <v/>
      </c>
      <c r="J701" s="4"/>
      <c r="K701" s="4"/>
      <c r="L701" s="18" t="str">
        <f aca="false">IF(F701="","",IF(COUNTIF('DS XE - TAI XE'!$B$6:$B$505,F701)&gt;0,"✓ Có","Chưa có trong DS xe"))</f>
        <v/>
      </c>
    </row>
    <row r="702" customFormat="false" ht="15" hidden="false" customHeight="false" outlineLevel="0" collapsed="false">
      <c r="A702" s="12" t="str">
        <f aca="false">IF(F702="","",COUNTA($F$8:F702))</f>
        <v/>
      </c>
      <c r="B702" s="4"/>
      <c r="C702" s="13"/>
      <c r="D702" s="14"/>
      <c r="E702" s="14"/>
      <c r="F702" s="15"/>
      <c r="G702" s="16"/>
      <c r="H702" s="16"/>
      <c r="I702" s="17" t="str">
        <f aca="false">IF(OR(G702="",H702=""),"",H702-G702)</f>
        <v/>
      </c>
      <c r="J702" s="4"/>
      <c r="K702" s="4"/>
      <c r="L702" s="18" t="str">
        <f aca="false">IF(F702="","",IF(COUNTIF('DS XE - TAI XE'!$B$6:$B$505,F702)&gt;0,"✓ Có","Chưa có trong DS xe"))</f>
        <v/>
      </c>
    </row>
    <row r="703" customFormat="false" ht="15" hidden="false" customHeight="false" outlineLevel="0" collapsed="false">
      <c r="A703" s="12" t="str">
        <f aca="false">IF(F703="","",COUNTA($F$8:F703))</f>
        <v/>
      </c>
      <c r="B703" s="4"/>
      <c r="C703" s="13"/>
      <c r="D703" s="14"/>
      <c r="E703" s="14"/>
      <c r="F703" s="15"/>
      <c r="G703" s="16"/>
      <c r="H703" s="16"/>
      <c r="I703" s="17" t="str">
        <f aca="false">IF(OR(G703="",H703=""),"",H703-G703)</f>
        <v/>
      </c>
      <c r="J703" s="4"/>
      <c r="K703" s="4"/>
      <c r="L703" s="18" t="str">
        <f aca="false">IF(F703="","",IF(COUNTIF('DS XE - TAI XE'!$B$6:$B$505,F703)&gt;0,"✓ Có","Chưa có trong DS xe"))</f>
        <v/>
      </c>
    </row>
    <row r="704" customFormat="false" ht="15" hidden="false" customHeight="false" outlineLevel="0" collapsed="false">
      <c r="A704" s="12" t="str">
        <f aca="false">IF(F704="","",COUNTA($F$8:F704))</f>
        <v/>
      </c>
      <c r="B704" s="4"/>
      <c r="C704" s="13"/>
      <c r="D704" s="14"/>
      <c r="E704" s="14"/>
      <c r="F704" s="15"/>
      <c r="G704" s="16"/>
      <c r="H704" s="16"/>
      <c r="I704" s="17" t="str">
        <f aca="false">IF(OR(G704="",H704=""),"",H704-G704)</f>
        <v/>
      </c>
      <c r="J704" s="4"/>
      <c r="K704" s="4"/>
      <c r="L704" s="18" t="str">
        <f aca="false">IF(F704="","",IF(COUNTIF('DS XE - TAI XE'!$B$6:$B$505,F704)&gt;0,"✓ Có","Chưa có trong DS xe"))</f>
        <v/>
      </c>
    </row>
    <row r="705" customFormat="false" ht="15" hidden="false" customHeight="false" outlineLevel="0" collapsed="false">
      <c r="A705" s="12" t="str">
        <f aca="false">IF(F705="","",COUNTA($F$8:F705))</f>
        <v/>
      </c>
      <c r="B705" s="4"/>
      <c r="C705" s="13"/>
      <c r="D705" s="14"/>
      <c r="E705" s="14"/>
      <c r="F705" s="15"/>
      <c r="G705" s="16"/>
      <c r="H705" s="16"/>
      <c r="I705" s="17" t="str">
        <f aca="false">IF(OR(G705="",H705=""),"",H705-G705)</f>
        <v/>
      </c>
      <c r="J705" s="4"/>
      <c r="K705" s="4"/>
      <c r="L705" s="18" t="str">
        <f aca="false">IF(F705="","",IF(COUNTIF('DS XE - TAI XE'!$B$6:$B$505,F705)&gt;0,"✓ Có","Chưa có trong DS xe"))</f>
        <v/>
      </c>
    </row>
    <row r="706" customFormat="false" ht="15" hidden="false" customHeight="false" outlineLevel="0" collapsed="false">
      <c r="A706" s="12" t="str">
        <f aca="false">IF(F706="","",COUNTA($F$8:F706))</f>
        <v/>
      </c>
      <c r="B706" s="4"/>
      <c r="C706" s="13"/>
      <c r="D706" s="14"/>
      <c r="E706" s="14"/>
      <c r="F706" s="15"/>
      <c r="G706" s="16"/>
      <c r="H706" s="16"/>
      <c r="I706" s="17" t="str">
        <f aca="false">IF(OR(G706="",H706=""),"",H706-G706)</f>
        <v/>
      </c>
      <c r="J706" s="4"/>
      <c r="K706" s="4"/>
      <c r="L706" s="18" t="str">
        <f aca="false">IF(F706="","",IF(COUNTIF('DS XE - TAI XE'!$B$6:$B$505,F706)&gt;0,"✓ Có","Chưa có trong DS xe"))</f>
        <v/>
      </c>
    </row>
    <row r="707" customFormat="false" ht="15" hidden="false" customHeight="false" outlineLevel="0" collapsed="false">
      <c r="A707" s="12" t="str">
        <f aca="false">IF(F707="","",COUNTA($F$8:F707))</f>
        <v/>
      </c>
      <c r="B707" s="4"/>
      <c r="C707" s="13"/>
      <c r="D707" s="14"/>
      <c r="E707" s="14"/>
      <c r="F707" s="15"/>
      <c r="G707" s="16"/>
      <c r="H707" s="16"/>
      <c r="I707" s="17" t="str">
        <f aca="false">IF(OR(G707="",H707=""),"",H707-G707)</f>
        <v/>
      </c>
      <c r="J707" s="4"/>
      <c r="K707" s="4"/>
      <c r="L707" s="18" t="str">
        <f aca="false">IF(F707="","",IF(COUNTIF('DS XE - TAI XE'!$B$6:$B$505,F707)&gt;0,"✓ Có","Chưa có trong DS xe"))</f>
        <v/>
      </c>
    </row>
    <row r="708" customFormat="false" ht="15" hidden="false" customHeight="false" outlineLevel="0" collapsed="false">
      <c r="A708" s="12" t="str">
        <f aca="false">IF(F708="","",COUNTA($F$8:F708))</f>
        <v/>
      </c>
      <c r="B708" s="4"/>
      <c r="C708" s="13"/>
      <c r="D708" s="14"/>
      <c r="E708" s="14"/>
      <c r="F708" s="15"/>
      <c r="G708" s="16"/>
      <c r="H708" s="16"/>
      <c r="I708" s="17" t="str">
        <f aca="false">IF(OR(G708="",H708=""),"",H708-G708)</f>
        <v/>
      </c>
      <c r="J708" s="4"/>
      <c r="K708" s="4"/>
      <c r="L708" s="18" t="str">
        <f aca="false">IF(F708="","",IF(COUNTIF('DS XE - TAI XE'!$B$6:$B$505,F708)&gt;0,"✓ Có","Chưa có trong DS xe"))</f>
        <v/>
      </c>
    </row>
    <row r="709" customFormat="false" ht="15" hidden="false" customHeight="false" outlineLevel="0" collapsed="false">
      <c r="A709" s="12" t="str">
        <f aca="false">IF(F709="","",COUNTA($F$8:F709))</f>
        <v/>
      </c>
      <c r="B709" s="4"/>
      <c r="C709" s="13"/>
      <c r="D709" s="14"/>
      <c r="E709" s="14"/>
      <c r="F709" s="15"/>
      <c r="G709" s="16"/>
      <c r="H709" s="16"/>
      <c r="I709" s="17" t="str">
        <f aca="false">IF(OR(G709="",H709=""),"",H709-G709)</f>
        <v/>
      </c>
      <c r="J709" s="4"/>
      <c r="K709" s="4"/>
      <c r="L709" s="18" t="str">
        <f aca="false">IF(F709="","",IF(COUNTIF('DS XE - TAI XE'!$B$6:$B$505,F709)&gt;0,"✓ Có","Chưa có trong DS xe"))</f>
        <v/>
      </c>
    </row>
    <row r="710" customFormat="false" ht="15" hidden="false" customHeight="false" outlineLevel="0" collapsed="false">
      <c r="A710" s="12" t="str">
        <f aca="false">IF(F710="","",COUNTA($F$8:F710))</f>
        <v/>
      </c>
      <c r="B710" s="4"/>
      <c r="C710" s="13"/>
      <c r="D710" s="14"/>
      <c r="E710" s="14"/>
      <c r="F710" s="15"/>
      <c r="G710" s="16"/>
      <c r="H710" s="16"/>
      <c r="I710" s="17" t="str">
        <f aca="false">IF(OR(G710="",H710=""),"",H710-G710)</f>
        <v/>
      </c>
      <c r="J710" s="4"/>
      <c r="K710" s="4"/>
      <c r="L710" s="18" t="str">
        <f aca="false">IF(F710="","",IF(COUNTIF('DS XE - TAI XE'!$B$6:$B$505,F710)&gt;0,"✓ Có","Chưa có trong DS xe"))</f>
        <v/>
      </c>
    </row>
    <row r="711" customFormat="false" ht="15" hidden="false" customHeight="false" outlineLevel="0" collapsed="false">
      <c r="A711" s="12" t="str">
        <f aca="false">IF(F711="","",COUNTA($F$8:F711))</f>
        <v/>
      </c>
      <c r="B711" s="4"/>
      <c r="C711" s="13"/>
      <c r="D711" s="14"/>
      <c r="E711" s="14"/>
      <c r="F711" s="15"/>
      <c r="G711" s="16"/>
      <c r="H711" s="16"/>
      <c r="I711" s="17" t="str">
        <f aca="false">IF(OR(G711="",H711=""),"",H711-G711)</f>
        <v/>
      </c>
      <c r="J711" s="4"/>
      <c r="K711" s="4"/>
      <c r="L711" s="18" t="str">
        <f aca="false">IF(F711="","",IF(COUNTIF('DS XE - TAI XE'!$B$6:$B$505,F711)&gt;0,"✓ Có","Chưa có trong DS xe"))</f>
        <v/>
      </c>
    </row>
    <row r="712" customFormat="false" ht="15" hidden="false" customHeight="false" outlineLevel="0" collapsed="false">
      <c r="A712" s="12" t="str">
        <f aca="false">IF(F712="","",COUNTA($F$8:F712))</f>
        <v/>
      </c>
      <c r="B712" s="4"/>
      <c r="C712" s="13"/>
      <c r="D712" s="14"/>
      <c r="E712" s="14"/>
      <c r="F712" s="15"/>
      <c r="G712" s="16"/>
      <c r="H712" s="16"/>
      <c r="I712" s="17" t="str">
        <f aca="false">IF(OR(G712="",H712=""),"",H712-G712)</f>
        <v/>
      </c>
      <c r="J712" s="4"/>
      <c r="K712" s="4"/>
      <c r="L712" s="18" t="str">
        <f aca="false">IF(F712="","",IF(COUNTIF('DS XE - TAI XE'!$B$6:$B$505,F712)&gt;0,"✓ Có","Chưa có trong DS xe"))</f>
        <v/>
      </c>
    </row>
    <row r="713" customFormat="false" ht="15" hidden="false" customHeight="false" outlineLevel="0" collapsed="false">
      <c r="A713" s="12" t="str">
        <f aca="false">IF(F713="","",COUNTA($F$8:F713))</f>
        <v/>
      </c>
      <c r="B713" s="4"/>
      <c r="C713" s="13"/>
      <c r="D713" s="14"/>
      <c r="E713" s="14"/>
      <c r="F713" s="15"/>
      <c r="G713" s="16"/>
      <c r="H713" s="16"/>
      <c r="I713" s="17" t="str">
        <f aca="false">IF(OR(G713="",H713=""),"",H713-G713)</f>
        <v/>
      </c>
      <c r="J713" s="4"/>
      <c r="K713" s="4"/>
      <c r="L713" s="18" t="str">
        <f aca="false">IF(F713="","",IF(COUNTIF('DS XE - TAI XE'!$B$6:$B$505,F713)&gt;0,"✓ Có","Chưa có trong DS xe"))</f>
        <v/>
      </c>
    </row>
    <row r="714" customFormat="false" ht="15" hidden="false" customHeight="false" outlineLevel="0" collapsed="false">
      <c r="A714" s="12" t="str">
        <f aca="false">IF(F714="","",COUNTA($F$8:F714))</f>
        <v/>
      </c>
      <c r="B714" s="4"/>
      <c r="C714" s="13"/>
      <c r="D714" s="14"/>
      <c r="E714" s="14"/>
      <c r="F714" s="15"/>
      <c r="G714" s="16"/>
      <c r="H714" s="16"/>
      <c r="I714" s="17" t="str">
        <f aca="false">IF(OR(G714="",H714=""),"",H714-G714)</f>
        <v/>
      </c>
      <c r="J714" s="4"/>
      <c r="K714" s="4"/>
      <c r="L714" s="18" t="str">
        <f aca="false">IF(F714="","",IF(COUNTIF('DS XE - TAI XE'!$B$6:$B$505,F714)&gt;0,"✓ Có","Chưa có trong DS xe"))</f>
        <v/>
      </c>
    </row>
    <row r="715" customFormat="false" ht="15" hidden="false" customHeight="false" outlineLevel="0" collapsed="false">
      <c r="A715" s="12" t="str">
        <f aca="false">IF(F715="","",COUNTA($F$8:F715))</f>
        <v/>
      </c>
      <c r="B715" s="4"/>
      <c r="C715" s="13"/>
      <c r="D715" s="14"/>
      <c r="E715" s="14"/>
      <c r="F715" s="15"/>
      <c r="G715" s="16"/>
      <c r="H715" s="16"/>
      <c r="I715" s="17" t="str">
        <f aca="false">IF(OR(G715="",H715=""),"",H715-G715)</f>
        <v/>
      </c>
      <c r="J715" s="4"/>
      <c r="K715" s="4"/>
      <c r="L715" s="18" t="str">
        <f aca="false">IF(F715="","",IF(COUNTIF('DS XE - TAI XE'!$B$6:$B$505,F715)&gt;0,"✓ Có","Chưa có trong DS xe"))</f>
        <v/>
      </c>
    </row>
    <row r="716" customFormat="false" ht="15" hidden="false" customHeight="false" outlineLevel="0" collapsed="false">
      <c r="A716" s="12" t="str">
        <f aca="false">IF(F716="","",COUNTA($F$8:F716))</f>
        <v/>
      </c>
      <c r="B716" s="4"/>
      <c r="C716" s="13"/>
      <c r="D716" s="14"/>
      <c r="E716" s="14"/>
      <c r="F716" s="15"/>
      <c r="G716" s="16"/>
      <c r="H716" s="16"/>
      <c r="I716" s="17" t="str">
        <f aca="false">IF(OR(G716="",H716=""),"",H716-G716)</f>
        <v/>
      </c>
      <c r="J716" s="4"/>
      <c r="K716" s="4"/>
      <c r="L716" s="18" t="str">
        <f aca="false">IF(F716="","",IF(COUNTIF('DS XE - TAI XE'!$B$6:$B$505,F716)&gt;0,"✓ Có","Chưa có trong DS xe"))</f>
        <v/>
      </c>
    </row>
    <row r="717" customFormat="false" ht="15" hidden="false" customHeight="false" outlineLevel="0" collapsed="false">
      <c r="A717" s="12" t="str">
        <f aca="false">IF(F717="","",COUNTA($F$8:F717))</f>
        <v/>
      </c>
      <c r="B717" s="4"/>
      <c r="C717" s="13"/>
      <c r="D717" s="14"/>
      <c r="E717" s="14"/>
      <c r="F717" s="15"/>
      <c r="G717" s="16"/>
      <c r="H717" s="16"/>
      <c r="I717" s="17" t="str">
        <f aca="false">IF(OR(G717="",H717=""),"",H717-G717)</f>
        <v/>
      </c>
      <c r="J717" s="4"/>
      <c r="K717" s="4"/>
      <c r="L717" s="18" t="str">
        <f aca="false">IF(F717="","",IF(COUNTIF('DS XE - TAI XE'!$B$6:$B$505,F717)&gt;0,"✓ Có","Chưa có trong DS xe"))</f>
        <v/>
      </c>
    </row>
    <row r="718" customFormat="false" ht="15" hidden="false" customHeight="false" outlineLevel="0" collapsed="false">
      <c r="A718" s="12" t="str">
        <f aca="false">IF(F718="","",COUNTA($F$8:F718))</f>
        <v/>
      </c>
      <c r="B718" s="4"/>
      <c r="C718" s="13"/>
      <c r="D718" s="14"/>
      <c r="E718" s="14"/>
      <c r="F718" s="15"/>
      <c r="G718" s="16"/>
      <c r="H718" s="16"/>
      <c r="I718" s="17" t="str">
        <f aca="false">IF(OR(G718="",H718=""),"",H718-G718)</f>
        <v/>
      </c>
      <c r="J718" s="4"/>
      <c r="K718" s="4"/>
      <c r="L718" s="18" t="str">
        <f aca="false">IF(F718="","",IF(COUNTIF('DS XE - TAI XE'!$B$6:$B$505,F718)&gt;0,"✓ Có","Chưa có trong DS xe"))</f>
        <v/>
      </c>
    </row>
    <row r="719" customFormat="false" ht="15" hidden="false" customHeight="false" outlineLevel="0" collapsed="false">
      <c r="A719" s="12" t="str">
        <f aca="false">IF(F719="","",COUNTA($F$8:F719))</f>
        <v/>
      </c>
      <c r="B719" s="4"/>
      <c r="C719" s="13"/>
      <c r="D719" s="14"/>
      <c r="E719" s="14"/>
      <c r="F719" s="15"/>
      <c r="G719" s="16"/>
      <c r="H719" s="16"/>
      <c r="I719" s="17" t="str">
        <f aca="false">IF(OR(G719="",H719=""),"",H719-G719)</f>
        <v/>
      </c>
      <c r="J719" s="4"/>
      <c r="K719" s="4"/>
      <c r="L719" s="18" t="str">
        <f aca="false">IF(F719="","",IF(COUNTIF('DS XE - TAI XE'!$B$6:$B$505,F719)&gt;0,"✓ Có","Chưa có trong DS xe"))</f>
        <v/>
      </c>
    </row>
    <row r="720" customFormat="false" ht="15" hidden="false" customHeight="false" outlineLevel="0" collapsed="false">
      <c r="A720" s="12" t="str">
        <f aca="false">IF(F720="","",COUNTA($F$8:F720))</f>
        <v/>
      </c>
      <c r="B720" s="4"/>
      <c r="C720" s="13"/>
      <c r="D720" s="14"/>
      <c r="E720" s="14"/>
      <c r="F720" s="15"/>
      <c r="G720" s="16"/>
      <c r="H720" s="16"/>
      <c r="I720" s="17" t="str">
        <f aca="false">IF(OR(G720="",H720=""),"",H720-G720)</f>
        <v/>
      </c>
      <c r="J720" s="4"/>
      <c r="K720" s="4"/>
      <c r="L720" s="18" t="str">
        <f aca="false">IF(F720="","",IF(COUNTIF('DS XE - TAI XE'!$B$6:$B$505,F720)&gt;0,"✓ Có","Chưa có trong DS xe"))</f>
        <v/>
      </c>
    </row>
    <row r="721" customFormat="false" ht="15" hidden="false" customHeight="false" outlineLevel="0" collapsed="false">
      <c r="A721" s="12" t="str">
        <f aca="false">IF(F721="","",COUNTA($F$8:F721))</f>
        <v/>
      </c>
      <c r="B721" s="4"/>
      <c r="C721" s="13"/>
      <c r="D721" s="14"/>
      <c r="E721" s="14"/>
      <c r="F721" s="15"/>
      <c r="G721" s="16"/>
      <c r="H721" s="16"/>
      <c r="I721" s="17" t="str">
        <f aca="false">IF(OR(G721="",H721=""),"",H721-G721)</f>
        <v/>
      </c>
      <c r="J721" s="4"/>
      <c r="K721" s="4"/>
      <c r="L721" s="18" t="str">
        <f aca="false">IF(F721="","",IF(COUNTIF('DS XE - TAI XE'!$B$6:$B$505,F721)&gt;0,"✓ Có","Chưa có trong DS xe"))</f>
        <v/>
      </c>
    </row>
    <row r="722" customFormat="false" ht="15" hidden="false" customHeight="false" outlineLevel="0" collapsed="false">
      <c r="A722" s="12" t="str">
        <f aca="false">IF(F722="","",COUNTA($F$8:F722))</f>
        <v/>
      </c>
      <c r="B722" s="4"/>
      <c r="C722" s="13"/>
      <c r="D722" s="14"/>
      <c r="E722" s="14"/>
      <c r="F722" s="15"/>
      <c r="G722" s="16"/>
      <c r="H722" s="16"/>
      <c r="I722" s="17" t="str">
        <f aca="false">IF(OR(G722="",H722=""),"",H722-G722)</f>
        <v/>
      </c>
      <c r="J722" s="4"/>
      <c r="K722" s="4"/>
      <c r="L722" s="18" t="str">
        <f aca="false">IF(F722="","",IF(COUNTIF('DS XE - TAI XE'!$B$6:$B$505,F722)&gt;0,"✓ Có","Chưa có trong DS xe"))</f>
        <v/>
      </c>
    </row>
    <row r="723" customFormat="false" ht="15" hidden="false" customHeight="false" outlineLevel="0" collapsed="false">
      <c r="A723" s="12" t="str">
        <f aca="false">IF(F723="","",COUNTA($F$8:F723))</f>
        <v/>
      </c>
      <c r="B723" s="4"/>
      <c r="C723" s="13"/>
      <c r="D723" s="14"/>
      <c r="E723" s="14"/>
      <c r="F723" s="15"/>
      <c r="G723" s="16"/>
      <c r="H723" s="16"/>
      <c r="I723" s="17" t="str">
        <f aca="false">IF(OR(G723="",H723=""),"",H723-G723)</f>
        <v/>
      </c>
      <c r="J723" s="4"/>
      <c r="K723" s="4"/>
      <c r="L723" s="18" t="str">
        <f aca="false">IF(F723="","",IF(COUNTIF('DS XE - TAI XE'!$B$6:$B$505,F723)&gt;0,"✓ Có","Chưa có trong DS xe"))</f>
        <v/>
      </c>
    </row>
    <row r="724" customFormat="false" ht="15" hidden="false" customHeight="false" outlineLevel="0" collapsed="false">
      <c r="A724" s="12" t="str">
        <f aca="false">IF(F724="","",COUNTA($F$8:F724))</f>
        <v/>
      </c>
      <c r="B724" s="4"/>
      <c r="C724" s="13"/>
      <c r="D724" s="14"/>
      <c r="E724" s="14"/>
      <c r="F724" s="15"/>
      <c r="G724" s="16"/>
      <c r="H724" s="16"/>
      <c r="I724" s="17" t="str">
        <f aca="false">IF(OR(G724="",H724=""),"",H724-G724)</f>
        <v/>
      </c>
      <c r="J724" s="4"/>
      <c r="K724" s="4"/>
      <c r="L724" s="18" t="str">
        <f aca="false">IF(F724="","",IF(COUNTIF('DS XE - TAI XE'!$B$6:$B$505,F724)&gt;0,"✓ Có","Chưa có trong DS xe"))</f>
        <v/>
      </c>
    </row>
    <row r="725" customFormat="false" ht="15" hidden="false" customHeight="false" outlineLevel="0" collapsed="false">
      <c r="A725" s="12" t="str">
        <f aca="false">IF(F725="","",COUNTA($F$8:F725))</f>
        <v/>
      </c>
      <c r="B725" s="4"/>
      <c r="C725" s="13"/>
      <c r="D725" s="14"/>
      <c r="E725" s="14"/>
      <c r="F725" s="15"/>
      <c r="G725" s="16"/>
      <c r="H725" s="16"/>
      <c r="I725" s="17" t="str">
        <f aca="false">IF(OR(G725="",H725=""),"",H725-G725)</f>
        <v/>
      </c>
      <c r="J725" s="4"/>
      <c r="K725" s="4"/>
      <c r="L725" s="18" t="str">
        <f aca="false">IF(F725="","",IF(COUNTIF('DS XE - TAI XE'!$B$6:$B$505,F725)&gt;0,"✓ Có","Chưa có trong DS xe"))</f>
        <v/>
      </c>
    </row>
    <row r="726" customFormat="false" ht="15" hidden="false" customHeight="false" outlineLevel="0" collapsed="false">
      <c r="A726" s="12" t="str">
        <f aca="false">IF(F726="","",COUNTA($F$8:F726))</f>
        <v/>
      </c>
      <c r="B726" s="4"/>
      <c r="C726" s="13"/>
      <c r="D726" s="14"/>
      <c r="E726" s="14"/>
      <c r="F726" s="15"/>
      <c r="G726" s="16"/>
      <c r="H726" s="16"/>
      <c r="I726" s="17" t="str">
        <f aca="false">IF(OR(G726="",H726=""),"",H726-G726)</f>
        <v/>
      </c>
      <c r="J726" s="4"/>
      <c r="K726" s="4"/>
      <c r="L726" s="18" t="str">
        <f aca="false">IF(F726="","",IF(COUNTIF('DS XE - TAI XE'!$B$6:$B$505,F726)&gt;0,"✓ Có","Chưa có trong DS xe"))</f>
        <v/>
      </c>
    </row>
    <row r="727" customFormat="false" ht="15" hidden="false" customHeight="false" outlineLevel="0" collapsed="false">
      <c r="A727" s="12" t="str">
        <f aca="false">IF(F727="","",COUNTA($F$8:F727))</f>
        <v/>
      </c>
      <c r="B727" s="4"/>
      <c r="C727" s="13"/>
      <c r="D727" s="14"/>
      <c r="E727" s="14"/>
      <c r="F727" s="15"/>
      <c r="G727" s="16"/>
      <c r="H727" s="16"/>
      <c r="I727" s="17" t="str">
        <f aca="false">IF(OR(G727="",H727=""),"",H727-G727)</f>
        <v/>
      </c>
      <c r="J727" s="4"/>
      <c r="K727" s="4"/>
      <c r="L727" s="18" t="str">
        <f aca="false">IF(F727="","",IF(COUNTIF('DS XE - TAI XE'!$B$6:$B$505,F727)&gt;0,"✓ Có","Chưa có trong DS xe"))</f>
        <v/>
      </c>
    </row>
    <row r="728" customFormat="false" ht="15" hidden="false" customHeight="false" outlineLevel="0" collapsed="false">
      <c r="A728" s="12" t="str">
        <f aca="false">IF(F728="","",COUNTA($F$8:F728))</f>
        <v/>
      </c>
      <c r="B728" s="4"/>
      <c r="C728" s="13"/>
      <c r="D728" s="14"/>
      <c r="E728" s="14"/>
      <c r="F728" s="15"/>
      <c r="G728" s="16"/>
      <c r="H728" s="16"/>
      <c r="I728" s="17" t="str">
        <f aca="false">IF(OR(G728="",H728=""),"",H728-G728)</f>
        <v/>
      </c>
      <c r="J728" s="4"/>
      <c r="K728" s="4"/>
      <c r="L728" s="18" t="str">
        <f aca="false">IF(F728="","",IF(COUNTIF('DS XE - TAI XE'!$B$6:$B$505,F728)&gt;0,"✓ Có","Chưa có trong DS xe"))</f>
        <v/>
      </c>
    </row>
    <row r="729" customFormat="false" ht="15" hidden="false" customHeight="false" outlineLevel="0" collapsed="false">
      <c r="A729" s="12" t="str">
        <f aca="false">IF(F729="","",COUNTA($F$8:F729))</f>
        <v/>
      </c>
      <c r="B729" s="4"/>
      <c r="C729" s="13"/>
      <c r="D729" s="14"/>
      <c r="E729" s="14"/>
      <c r="F729" s="15"/>
      <c r="G729" s="16"/>
      <c r="H729" s="16"/>
      <c r="I729" s="17" t="str">
        <f aca="false">IF(OR(G729="",H729=""),"",H729-G729)</f>
        <v/>
      </c>
      <c r="J729" s="4"/>
      <c r="K729" s="4"/>
      <c r="L729" s="18" t="str">
        <f aca="false">IF(F729="","",IF(COUNTIF('DS XE - TAI XE'!$B$6:$B$505,F729)&gt;0,"✓ Có","Chưa có trong DS xe"))</f>
        <v/>
      </c>
    </row>
    <row r="730" customFormat="false" ht="15" hidden="false" customHeight="false" outlineLevel="0" collapsed="false">
      <c r="A730" s="12" t="str">
        <f aca="false">IF(F730="","",COUNTA($F$8:F730))</f>
        <v/>
      </c>
      <c r="B730" s="4"/>
      <c r="C730" s="13"/>
      <c r="D730" s="14"/>
      <c r="E730" s="14"/>
      <c r="F730" s="15"/>
      <c r="G730" s="16"/>
      <c r="H730" s="16"/>
      <c r="I730" s="17" t="str">
        <f aca="false">IF(OR(G730="",H730=""),"",H730-G730)</f>
        <v/>
      </c>
      <c r="J730" s="4"/>
      <c r="K730" s="4"/>
      <c r="L730" s="18" t="str">
        <f aca="false">IF(F730="","",IF(COUNTIF('DS XE - TAI XE'!$B$6:$B$505,F730)&gt;0,"✓ Có","Chưa có trong DS xe"))</f>
        <v/>
      </c>
    </row>
    <row r="731" customFormat="false" ht="15" hidden="false" customHeight="false" outlineLevel="0" collapsed="false">
      <c r="A731" s="12" t="str">
        <f aca="false">IF(F731="","",COUNTA($F$8:F731))</f>
        <v/>
      </c>
      <c r="B731" s="4"/>
      <c r="C731" s="13"/>
      <c r="D731" s="14"/>
      <c r="E731" s="14"/>
      <c r="F731" s="15"/>
      <c r="G731" s="16"/>
      <c r="H731" s="16"/>
      <c r="I731" s="17" t="str">
        <f aca="false">IF(OR(G731="",H731=""),"",H731-G731)</f>
        <v/>
      </c>
      <c r="J731" s="4"/>
      <c r="K731" s="4"/>
      <c r="L731" s="18" t="str">
        <f aca="false">IF(F731="","",IF(COUNTIF('DS XE - TAI XE'!$B$6:$B$505,F731)&gt;0,"✓ Có","Chưa có trong DS xe"))</f>
        <v/>
      </c>
    </row>
    <row r="732" customFormat="false" ht="15" hidden="false" customHeight="false" outlineLevel="0" collapsed="false">
      <c r="A732" s="12" t="str">
        <f aca="false">IF(F732="","",COUNTA($F$8:F732))</f>
        <v/>
      </c>
      <c r="B732" s="4"/>
      <c r="C732" s="13"/>
      <c r="D732" s="14"/>
      <c r="E732" s="14"/>
      <c r="F732" s="15"/>
      <c r="G732" s="16"/>
      <c r="H732" s="16"/>
      <c r="I732" s="17" t="str">
        <f aca="false">IF(OR(G732="",H732=""),"",H732-G732)</f>
        <v/>
      </c>
      <c r="J732" s="4"/>
      <c r="K732" s="4"/>
      <c r="L732" s="18" t="str">
        <f aca="false">IF(F732="","",IF(COUNTIF('DS XE - TAI XE'!$B$6:$B$505,F732)&gt;0,"✓ Có","Chưa có trong DS xe"))</f>
        <v/>
      </c>
    </row>
    <row r="733" customFormat="false" ht="15" hidden="false" customHeight="false" outlineLevel="0" collapsed="false">
      <c r="A733" s="12" t="str">
        <f aca="false">IF(F733="","",COUNTA($F$8:F733))</f>
        <v/>
      </c>
      <c r="B733" s="4"/>
      <c r="C733" s="13"/>
      <c r="D733" s="14"/>
      <c r="E733" s="14"/>
      <c r="F733" s="15"/>
      <c r="G733" s="16"/>
      <c r="H733" s="16"/>
      <c r="I733" s="17" t="str">
        <f aca="false">IF(OR(G733="",H733=""),"",H733-G733)</f>
        <v/>
      </c>
      <c r="J733" s="4"/>
      <c r="K733" s="4"/>
      <c r="L733" s="18" t="str">
        <f aca="false">IF(F733="","",IF(COUNTIF('DS XE - TAI XE'!$B$6:$B$505,F733)&gt;0,"✓ Có","Chưa có trong DS xe"))</f>
        <v/>
      </c>
    </row>
    <row r="734" customFormat="false" ht="15" hidden="false" customHeight="false" outlineLevel="0" collapsed="false">
      <c r="A734" s="12" t="str">
        <f aca="false">IF(F734="","",COUNTA($F$8:F734))</f>
        <v/>
      </c>
      <c r="B734" s="4"/>
      <c r="C734" s="13"/>
      <c r="D734" s="14"/>
      <c r="E734" s="14"/>
      <c r="F734" s="15"/>
      <c r="G734" s="16"/>
      <c r="H734" s="16"/>
      <c r="I734" s="17" t="str">
        <f aca="false">IF(OR(G734="",H734=""),"",H734-G734)</f>
        <v/>
      </c>
      <c r="J734" s="4"/>
      <c r="K734" s="4"/>
      <c r="L734" s="18" t="str">
        <f aca="false">IF(F734="","",IF(COUNTIF('DS XE - TAI XE'!$B$6:$B$505,F734)&gt;0,"✓ Có","Chưa có trong DS xe"))</f>
        <v/>
      </c>
    </row>
    <row r="735" customFormat="false" ht="15" hidden="false" customHeight="false" outlineLevel="0" collapsed="false">
      <c r="A735" s="12" t="str">
        <f aca="false">IF(F735="","",COUNTA($F$8:F735))</f>
        <v/>
      </c>
      <c r="B735" s="4"/>
      <c r="C735" s="13"/>
      <c r="D735" s="14"/>
      <c r="E735" s="14"/>
      <c r="F735" s="15"/>
      <c r="G735" s="16"/>
      <c r="H735" s="16"/>
      <c r="I735" s="17" t="str">
        <f aca="false">IF(OR(G735="",H735=""),"",H735-G735)</f>
        <v/>
      </c>
      <c r="J735" s="4"/>
      <c r="K735" s="4"/>
      <c r="L735" s="18" t="str">
        <f aca="false">IF(F735="","",IF(COUNTIF('DS XE - TAI XE'!$B$6:$B$505,F735)&gt;0,"✓ Có","Chưa có trong DS xe"))</f>
        <v/>
      </c>
    </row>
    <row r="736" customFormat="false" ht="15" hidden="false" customHeight="false" outlineLevel="0" collapsed="false">
      <c r="A736" s="12" t="str">
        <f aca="false">IF(F736="","",COUNTA($F$8:F736))</f>
        <v/>
      </c>
      <c r="B736" s="4"/>
      <c r="C736" s="13"/>
      <c r="D736" s="14"/>
      <c r="E736" s="14"/>
      <c r="F736" s="15"/>
      <c r="G736" s="16"/>
      <c r="H736" s="16"/>
      <c r="I736" s="17" t="str">
        <f aca="false">IF(OR(G736="",H736=""),"",H736-G736)</f>
        <v/>
      </c>
      <c r="J736" s="4"/>
      <c r="K736" s="4"/>
      <c r="L736" s="18" t="str">
        <f aca="false">IF(F736="","",IF(COUNTIF('DS XE - TAI XE'!$B$6:$B$505,F736)&gt;0,"✓ Có","Chưa có trong DS xe"))</f>
        <v/>
      </c>
    </row>
    <row r="737" customFormat="false" ht="15" hidden="false" customHeight="false" outlineLevel="0" collapsed="false">
      <c r="A737" s="12" t="str">
        <f aca="false">IF(F737="","",COUNTA($F$8:F737))</f>
        <v/>
      </c>
      <c r="B737" s="4"/>
      <c r="C737" s="13"/>
      <c r="D737" s="14"/>
      <c r="E737" s="14"/>
      <c r="F737" s="15"/>
      <c r="G737" s="16"/>
      <c r="H737" s="16"/>
      <c r="I737" s="17" t="str">
        <f aca="false">IF(OR(G737="",H737=""),"",H737-G737)</f>
        <v/>
      </c>
      <c r="J737" s="4"/>
      <c r="K737" s="4"/>
      <c r="L737" s="18" t="str">
        <f aca="false">IF(F737="","",IF(COUNTIF('DS XE - TAI XE'!$B$6:$B$505,F737)&gt;0,"✓ Có","Chưa có trong DS xe"))</f>
        <v/>
      </c>
    </row>
    <row r="738" customFormat="false" ht="15" hidden="false" customHeight="false" outlineLevel="0" collapsed="false">
      <c r="A738" s="12" t="str">
        <f aca="false">IF(F738="","",COUNTA($F$8:F738))</f>
        <v/>
      </c>
      <c r="B738" s="4"/>
      <c r="C738" s="13"/>
      <c r="D738" s="14"/>
      <c r="E738" s="14"/>
      <c r="F738" s="15"/>
      <c r="G738" s="16"/>
      <c r="H738" s="16"/>
      <c r="I738" s="17" t="str">
        <f aca="false">IF(OR(G738="",H738=""),"",H738-G738)</f>
        <v/>
      </c>
      <c r="J738" s="4"/>
      <c r="K738" s="4"/>
      <c r="L738" s="18" t="str">
        <f aca="false">IF(F738="","",IF(COUNTIF('DS XE - TAI XE'!$B$6:$B$505,F738)&gt;0,"✓ Có","Chưa có trong DS xe"))</f>
        <v/>
      </c>
    </row>
    <row r="739" customFormat="false" ht="15" hidden="false" customHeight="false" outlineLevel="0" collapsed="false">
      <c r="A739" s="12" t="str">
        <f aca="false">IF(F739="","",COUNTA($F$8:F739))</f>
        <v/>
      </c>
      <c r="B739" s="4"/>
      <c r="C739" s="13"/>
      <c r="D739" s="14"/>
      <c r="E739" s="14"/>
      <c r="F739" s="15"/>
      <c r="G739" s="16"/>
      <c r="H739" s="16"/>
      <c r="I739" s="17" t="str">
        <f aca="false">IF(OR(G739="",H739=""),"",H739-G739)</f>
        <v/>
      </c>
      <c r="J739" s="4"/>
      <c r="K739" s="4"/>
      <c r="L739" s="18" t="str">
        <f aca="false">IF(F739="","",IF(COUNTIF('DS XE - TAI XE'!$B$6:$B$505,F739)&gt;0,"✓ Có","Chưa có trong DS xe"))</f>
        <v/>
      </c>
    </row>
    <row r="740" customFormat="false" ht="15" hidden="false" customHeight="false" outlineLevel="0" collapsed="false">
      <c r="A740" s="12" t="str">
        <f aca="false">IF(F740="","",COUNTA($F$8:F740))</f>
        <v/>
      </c>
      <c r="B740" s="4"/>
      <c r="C740" s="13"/>
      <c r="D740" s="14"/>
      <c r="E740" s="14"/>
      <c r="F740" s="15"/>
      <c r="G740" s="16"/>
      <c r="H740" s="16"/>
      <c r="I740" s="17" t="str">
        <f aca="false">IF(OR(G740="",H740=""),"",H740-G740)</f>
        <v/>
      </c>
      <c r="J740" s="4"/>
      <c r="K740" s="4"/>
      <c r="L740" s="18" t="str">
        <f aca="false">IF(F740="","",IF(COUNTIF('DS XE - TAI XE'!$B$6:$B$505,F740)&gt;0,"✓ Có","Chưa có trong DS xe"))</f>
        <v/>
      </c>
    </row>
    <row r="741" customFormat="false" ht="15" hidden="false" customHeight="false" outlineLevel="0" collapsed="false">
      <c r="A741" s="12" t="str">
        <f aca="false">IF(F741="","",COUNTA($F$8:F741))</f>
        <v/>
      </c>
      <c r="B741" s="4"/>
      <c r="C741" s="13"/>
      <c r="D741" s="14"/>
      <c r="E741" s="14"/>
      <c r="F741" s="15"/>
      <c r="G741" s="16"/>
      <c r="H741" s="16"/>
      <c r="I741" s="17" t="str">
        <f aca="false">IF(OR(G741="",H741=""),"",H741-G741)</f>
        <v/>
      </c>
      <c r="J741" s="4"/>
      <c r="K741" s="4"/>
      <c r="L741" s="18" t="str">
        <f aca="false">IF(F741="","",IF(COUNTIF('DS XE - TAI XE'!$B$6:$B$505,F741)&gt;0,"✓ Có","Chưa có trong DS xe"))</f>
        <v/>
      </c>
    </row>
    <row r="742" customFormat="false" ht="15" hidden="false" customHeight="false" outlineLevel="0" collapsed="false">
      <c r="A742" s="12" t="str">
        <f aca="false">IF(F742="","",COUNTA($F$8:F742))</f>
        <v/>
      </c>
      <c r="B742" s="4"/>
      <c r="C742" s="13"/>
      <c r="D742" s="14"/>
      <c r="E742" s="14"/>
      <c r="F742" s="15"/>
      <c r="G742" s="16"/>
      <c r="H742" s="16"/>
      <c r="I742" s="17" t="str">
        <f aca="false">IF(OR(G742="",H742=""),"",H742-G742)</f>
        <v/>
      </c>
      <c r="J742" s="4"/>
      <c r="K742" s="4"/>
      <c r="L742" s="18" t="str">
        <f aca="false">IF(F742="","",IF(COUNTIF('DS XE - TAI XE'!$B$6:$B$505,F742)&gt;0,"✓ Có","Chưa có trong DS xe"))</f>
        <v/>
      </c>
    </row>
    <row r="743" customFormat="false" ht="15" hidden="false" customHeight="false" outlineLevel="0" collapsed="false">
      <c r="A743" s="12" t="str">
        <f aca="false">IF(F743="","",COUNTA($F$8:F743))</f>
        <v/>
      </c>
      <c r="B743" s="4"/>
      <c r="C743" s="13"/>
      <c r="D743" s="14"/>
      <c r="E743" s="14"/>
      <c r="F743" s="15"/>
      <c r="G743" s="16"/>
      <c r="H743" s="16"/>
      <c r="I743" s="17" t="str">
        <f aca="false">IF(OR(G743="",H743=""),"",H743-G743)</f>
        <v/>
      </c>
      <c r="J743" s="4"/>
      <c r="K743" s="4"/>
      <c r="L743" s="18" t="str">
        <f aca="false">IF(F743="","",IF(COUNTIF('DS XE - TAI XE'!$B$6:$B$505,F743)&gt;0,"✓ Có","Chưa có trong DS xe"))</f>
        <v/>
      </c>
    </row>
    <row r="744" customFormat="false" ht="15" hidden="false" customHeight="false" outlineLevel="0" collapsed="false">
      <c r="A744" s="12" t="str">
        <f aca="false">IF(F744="","",COUNTA($F$8:F744))</f>
        <v/>
      </c>
      <c r="B744" s="4"/>
      <c r="C744" s="13"/>
      <c r="D744" s="14"/>
      <c r="E744" s="14"/>
      <c r="F744" s="15"/>
      <c r="G744" s="16"/>
      <c r="H744" s="16"/>
      <c r="I744" s="17" t="str">
        <f aca="false">IF(OR(G744="",H744=""),"",H744-G744)</f>
        <v/>
      </c>
      <c r="J744" s="4"/>
      <c r="K744" s="4"/>
      <c r="L744" s="18" t="str">
        <f aca="false">IF(F744="","",IF(COUNTIF('DS XE - TAI XE'!$B$6:$B$505,F744)&gt;0,"✓ Có","Chưa có trong DS xe"))</f>
        <v/>
      </c>
    </row>
    <row r="745" customFormat="false" ht="15" hidden="false" customHeight="false" outlineLevel="0" collapsed="false">
      <c r="A745" s="12" t="str">
        <f aca="false">IF(F745="","",COUNTA($F$8:F745))</f>
        <v/>
      </c>
      <c r="B745" s="4"/>
      <c r="C745" s="13"/>
      <c r="D745" s="14"/>
      <c r="E745" s="14"/>
      <c r="F745" s="15"/>
      <c r="G745" s="16"/>
      <c r="H745" s="16"/>
      <c r="I745" s="17" t="str">
        <f aca="false">IF(OR(G745="",H745=""),"",H745-G745)</f>
        <v/>
      </c>
      <c r="J745" s="4"/>
      <c r="K745" s="4"/>
      <c r="L745" s="18" t="str">
        <f aca="false">IF(F745="","",IF(COUNTIF('DS XE - TAI XE'!$B$6:$B$505,F745)&gt;0,"✓ Có","Chưa có trong DS xe"))</f>
        <v/>
      </c>
    </row>
    <row r="746" customFormat="false" ht="15" hidden="false" customHeight="false" outlineLevel="0" collapsed="false">
      <c r="A746" s="12" t="str">
        <f aca="false">IF(F746="","",COUNTA($F$8:F746))</f>
        <v/>
      </c>
      <c r="B746" s="4"/>
      <c r="C746" s="13"/>
      <c r="D746" s="14"/>
      <c r="E746" s="14"/>
      <c r="F746" s="15"/>
      <c r="G746" s="16"/>
      <c r="H746" s="16"/>
      <c r="I746" s="17" t="str">
        <f aca="false">IF(OR(G746="",H746=""),"",H746-G746)</f>
        <v/>
      </c>
      <c r="J746" s="4"/>
      <c r="K746" s="4"/>
      <c r="L746" s="18" t="str">
        <f aca="false">IF(F746="","",IF(COUNTIF('DS XE - TAI XE'!$B$6:$B$505,F746)&gt;0,"✓ Có","Chưa có trong DS xe"))</f>
        <v/>
      </c>
    </row>
    <row r="747" customFormat="false" ht="15" hidden="false" customHeight="false" outlineLevel="0" collapsed="false">
      <c r="A747" s="12" t="str">
        <f aca="false">IF(F747="","",COUNTA($F$8:F747))</f>
        <v/>
      </c>
      <c r="B747" s="4"/>
      <c r="C747" s="13"/>
      <c r="D747" s="14"/>
      <c r="E747" s="14"/>
      <c r="F747" s="15"/>
      <c r="G747" s="16"/>
      <c r="H747" s="16"/>
      <c r="I747" s="17" t="str">
        <f aca="false">IF(OR(G747="",H747=""),"",H747-G747)</f>
        <v/>
      </c>
      <c r="J747" s="4"/>
      <c r="K747" s="4"/>
      <c r="L747" s="18" t="str">
        <f aca="false">IF(F747="","",IF(COUNTIF('DS XE - TAI XE'!$B$6:$B$505,F747)&gt;0,"✓ Có","Chưa có trong DS xe"))</f>
        <v/>
      </c>
    </row>
    <row r="748" customFormat="false" ht="15" hidden="false" customHeight="false" outlineLevel="0" collapsed="false">
      <c r="A748" s="12" t="str">
        <f aca="false">IF(F748="","",COUNTA($F$8:F748))</f>
        <v/>
      </c>
      <c r="B748" s="4"/>
      <c r="C748" s="13"/>
      <c r="D748" s="14"/>
      <c r="E748" s="14"/>
      <c r="F748" s="15"/>
      <c r="G748" s="16"/>
      <c r="H748" s="16"/>
      <c r="I748" s="17" t="str">
        <f aca="false">IF(OR(G748="",H748=""),"",H748-G748)</f>
        <v/>
      </c>
      <c r="J748" s="4"/>
      <c r="K748" s="4"/>
      <c r="L748" s="18" t="str">
        <f aca="false">IF(F748="","",IF(COUNTIF('DS XE - TAI XE'!$B$6:$B$505,F748)&gt;0,"✓ Có","Chưa có trong DS xe"))</f>
        <v/>
      </c>
    </row>
    <row r="749" customFormat="false" ht="15" hidden="false" customHeight="false" outlineLevel="0" collapsed="false">
      <c r="A749" s="12" t="str">
        <f aca="false">IF(F749="","",COUNTA($F$8:F749))</f>
        <v/>
      </c>
      <c r="B749" s="4"/>
      <c r="C749" s="13"/>
      <c r="D749" s="14"/>
      <c r="E749" s="14"/>
      <c r="F749" s="15"/>
      <c r="G749" s="16"/>
      <c r="H749" s="16"/>
      <c r="I749" s="17" t="str">
        <f aca="false">IF(OR(G749="",H749=""),"",H749-G749)</f>
        <v/>
      </c>
      <c r="J749" s="4"/>
      <c r="K749" s="4"/>
      <c r="L749" s="18" t="str">
        <f aca="false">IF(F749="","",IF(COUNTIF('DS XE - TAI XE'!$B$6:$B$505,F749)&gt;0,"✓ Có","Chưa có trong DS xe"))</f>
        <v/>
      </c>
    </row>
    <row r="750" customFormat="false" ht="15" hidden="false" customHeight="false" outlineLevel="0" collapsed="false">
      <c r="A750" s="12" t="str">
        <f aca="false">IF(F750="","",COUNTA($F$8:F750))</f>
        <v/>
      </c>
      <c r="B750" s="4"/>
      <c r="C750" s="13"/>
      <c r="D750" s="14"/>
      <c r="E750" s="14"/>
      <c r="F750" s="15"/>
      <c r="G750" s="16"/>
      <c r="H750" s="16"/>
      <c r="I750" s="17" t="str">
        <f aca="false">IF(OR(G750="",H750=""),"",H750-G750)</f>
        <v/>
      </c>
      <c r="J750" s="4"/>
      <c r="K750" s="4"/>
      <c r="L750" s="18" t="str">
        <f aca="false">IF(F750="","",IF(COUNTIF('DS XE - TAI XE'!$B$6:$B$505,F750)&gt;0,"✓ Có","Chưa có trong DS xe"))</f>
        <v/>
      </c>
    </row>
    <row r="751" customFormat="false" ht="15" hidden="false" customHeight="false" outlineLevel="0" collapsed="false">
      <c r="A751" s="12" t="str">
        <f aca="false">IF(F751="","",COUNTA($F$8:F751))</f>
        <v/>
      </c>
      <c r="B751" s="4"/>
      <c r="C751" s="13"/>
      <c r="D751" s="14"/>
      <c r="E751" s="14"/>
      <c r="F751" s="15"/>
      <c r="G751" s="16"/>
      <c r="H751" s="16"/>
      <c r="I751" s="17" t="str">
        <f aca="false">IF(OR(G751="",H751=""),"",H751-G751)</f>
        <v/>
      </c>
      <c r="J751" s="4"/>
      <c r="K751" s="4"/>
      <c r="L751" s="18" t="str">
        <f aca="false">IF(F751="","",IF(COUNTIF('DS XE - TAI XE'!$B$6:$B$505,F751)&gt;0,"✓ Có","Chưa có trong DS xe"))</f>
        <v/>
      </c>
    </row>
    <row r="752" customFormat="false" ht="15" hidden="false" customHeight="false" outlineLevel="0" collapsed="false">
      <c r="A752" s="12" t="str">
        <f aca="false">IF(F752="","",COUNTA($F$8:F752))</f>
        <v/>
      </c>
      <c r="B752" s="4"/>
      <c r="C752" s="13"/>
      <c r="D752" s="14"/>
      <c r="E752" s="14"/>
      <c r="F752" s="15"/>
      <c r="G752" s="16"/>
      <c r="H752" s="16"/>
      <c r="I752" s="17" t="str">
        <f aca="false">IF(OR(G752="",H752=""),"",H752-G752)</f>
        <v/>
      </c>
      <c r="J752" s="4"/>
      <c r="K752" s="4"/>
      <c r="L752" s="18" t="str">
        <f aca="false">IF(F752="","",IF(COUNTIF('DS XE - TAI XE'!$B$6:$B$505,F752)&gt;0,"✓ Có","Chưa có trong DS xe"))</f>
        <v/>
      </c>
    </row>
    <row r="753" customFormat="false" ht="15" hidden="false" customHeight="false" outlineLevel="0" collapsed="false">
      <c r="A753" s="12" t="str">
        <f aca="false">IF(F753="","",COUNTA($F$8:F753))</f>
        <v/>
      </c>
      <c r="B753" s="4"/>
      <c r="C753" s="13"/>
      <c r="D753" s="14"/>
      <c r="E753" s="14"/>
      <c r="F753" s="15"/>
      <c r="G753" s="16"/>
      <c r="H753" s="16"/>
      <c r="I753" s="17" t="str">
        <f aca="false">IF(OR(G753="",H753=""),"",H753-G753)</f>
        <v/>
      </c>
      <c r="J753" s="4"/>
      <c r="K753" s="4"/>
      <c r="L753" s="18" t="str">
        <f aca="false">IF(F753="","",IF(COUNTIF('DS XE - TAI XE'!$B$6:$B$505,F753)&gt;0,"✓ Có","Chưa có trong DS xe"))</f>
        <v/>
      </c>
    </row>
    <row r="754" customFormat="false" ht="15" hidden="false" customHeight="false" outlineLevel="0" collapsed="false">
      <c r="A754" s="12" t="str">
        <f aca="false">IF(F754="","",COUNTA($F$8:F754))</f>
        <v/>
      </c>
      <c r="B754" s="4"/>
      <c r="C754" s="13"/>
      <c r="D754" s="14"/>
      <c r="E754" s="14"/>
      <c r="F754" s="15"/>
      <c r="G754" s="16"/>
      <c r="H754" s="16"/>
      <c r="I754" s="17" t="str">
        <f aca="false">IF(OR(G754="",H754=""),"",H754-G754)</f>
        <v/>
      </c>
      <c r="J754" s="4"/>
      <c r="K754" s="4"/>
      <c r="L754" s="18" t="str">
        <f aca="false">IF(F754="","",IF(COUNTIF('DS XE - TAI XE'!$B$6:$B$505,F754)&gt;0,"✓ Có","Chưa có trong DS xe"))</f>
        <v/>
      </c>
    </row>
    <row r="755" customFormat="false" ht="15" hidden="false" customHeight="false" outlineLevel="0" collapsed="false">
      <c r="A755" s="12" t="str">
        <f aca="false">IF(F755="","",COUNTA($F$8:F755))</f>
        <v/>
      </c>
      <c r="B755" s="4"/>
      <c r="C755" s="13"/>
      <c r="D755" s="14"/>
      <c r="E755" s="14"/>
      <c r="F755" s="15"/>
      <c r="G755" s="16"/>
      <c r="H755" s="16"/>
      <c r="I755" s="17" t="str">
        <f aca="false">IF(OR(G755="",H755=""),"",H755-G755)</f>
        <v/>
      </c>
      <c r="J755" s="4"/>
      <c r="K755" s="4"/>
      <c r="L755" s="18" t="str">
        <f aca="false">IF(F755="","",IF(COUNTIF('DS XE - TAI XE'!$B$6:$B$505,F755)&gt;0,"✓ Có","Chưa có trong DS xe"))</f>
        <v/>
      </c>
    </row>
    <row r="756" customFormat="false" ht="15" hidden="false" customHeight="false" outlineLevel="0" collapsed="false">
      <c r="A756" s="12" t="str">
        <f aca="false">IF(F756="","",COUNTA($F$8:F756))</f>
        <v/>
      </c>
      <c r="B756" s="4"/>
      <c r="C756" s="13"/>
      <c r="D756" s="14"/>
      <c r="E756" s="14"/>
      <c r="F756" s="15"/>
      <c r="G756" s="16"/>
      <c r="H756" s="16"/>
      <c r="I756" s="17" t="str">
        <f aca="false">IF(OR(G756="",H756=""),"",H756-G756)</f>
        <v/>
      </c>
      <c r="J756" s="4"/>
      <c r="K756" s="4"/>
      <c r="L756" s="18" t="str">
        <f aca="false">IF(F756="","",IF(COUNTIF('DS XE - TAI XE'!$B$6:$B$505,F756)&gt;0,"✓ Có","Chưa có trong DS xe"))</f>
        <v/>
      </c>
    </row>
    <row r="757" customFormat="false" ht="15" hidden="false" customHeight="false" outlineLevel="0" collapsed="false">
      <c r="A757" s="12" t="str">
        <f aca="false">IF(F757="","",COUNTA($F$8:F757))</f>
        <v/>
      </c>
      <c r="B757" s="4"/>
      <c r="C757" s="13"/>
      <c r="D757" s="14"/>
      <c r="E757" s="14"/>
      <c r="F757" s="15"/>
      <c r="G757" s="16"/>
      <c r="H757" s="16"/>
      <c r="I757" s="17" t="str">
        <f aca="false">IF(OR(G757="",H757=""),"",H757-G757)</f>
        <v/>
      </c>
      <c r="J757" s="4"/>
      <c r="K757" s="4"/>
      <c r="L757" s="18" t="str">
        <f aca="false">IF(F757="","",IF(COUNTIF('DS XE - TAI XE'!$B$6:$B$505,F757)&gt;0,"✓ Có","Chưa có trong DS xe"))</f>
        <v/>
      </c>
    </row>
    <row r="758" customFormat="false" ht="15" hidden="false" customHeight="false" outlineLevel="0" collapsed="false">
      <c r="A758" s="12" t="str">
        <f aca="false">IF(F758="","",COUNTA($F$8:F758))</f>
        <v/>
      </c>
      <c r="B758" s="4"/>
      <c r="C758" s="13"/>
      <c r="D758" s="14"/>
      <c r="E758" s="14"/>
      <c r="F758" s="15"/>
      <c r="G758" s="16"/>
      <c r="H758" s="16"/>
      <c r="I758" s="17" t="str">
        <f aca="false">IF(OR(G758="",H758=""),"",H758-G758)</f>
        <v/>
      </c>
      <c r="J758" s="4"/>
      <c r="K758" s="4"/>
      <c r="L758" s="18" t="str">
        <f aca="false">IF(F758="","",IF(COUNTIF('DS XE - TAI XE'!$B$6:$B$505,F758)&gt;0,"✓ Có","Chưa có trong DS xe"))</f>
        <v/>
      </c>
    </row>
    <row r="759" customFormat="false" ht="15" hidden="false" customHeight="false" outlineLevel="0" collapsed="false">
      <c r="A759" s="12" t="str">
        <f aca="false">IF(F759="","",COUNTA($F$8:F759))</f>
        <v/>
      </c>
      <c r="B759" s="4"/>
      <c r="C759" s="13"/>
      <c r="D759" s="14"/>
      <c r="E759" s="14"/>
      <c r="F759" s="15"/>
      <c r="G759" s="16"/>
      <c r="H759" s="16"/>
      <c r="I759" s="17" t="str">
        <f aca="false">IF(OR(G759="",H759=""),"",H759-G759)</f>
        <v/>
      </c>
      <c r="J759" s="4"/>
      <c r="K759" s="4"/>
      <c r="L759" s="18" t="str">
        <f aca="false">IF(F759="","",IF(COUNTIF('DS XE - TAI XE'!$B$6:$B$505,F759)&gt;0,"✓ Có","Chưa có trong DS xe"))</f>
        <v/>
      </c>
    </row>
    <row r="760" customFormat="false" ht="15" hidden="false" customHeight="false" outlineLevel="0" collapsed="false">
      <c r="A760" s="12" t="str">
        <f aca="false">IF(F760="","",COUNTA($F$8:F760))</f>
        <v/>
      </c>
      <c r="B760" s="4"/>
      <c r="C760" s="13"/>
      <c r="D760" s="14"/>
      <c r="E760" s="14"/>
      <c r="F760" s="15"/>
      <c r="G760" s="16"/>
      <c r="H760" s="16"/>
      <c r="I760" s="17" t="str">
        <f aca="false">IF(OR(G760="",H760=""),"",H760-G760)</f>
        <v/>
      </c>
      <c r="J760" s="4"/>
      <c r="K760" s="4"/>
      <c r="L760" s="18" t="str">
        <f aca="false">IF(F760="","",IF(COUNTIF('DS XE - TAI XE'!$B$6:$B$505,F760)&gt;0,"✓ Có","Chưa có trong DS xe"))</f>
        <v/>
      </c>
    </row>
    <row r="761" customFormat="false" ht="15" hidden="false" customHeight="false" outlineLevel="0" collapsed="false">
      <c r="A761" s="12" t="str">
        <f aca="false">IF(F761="","",COUNTA($F$8:F761))</f>
        <v/>
      </c>
      <c r="B761" s="4"/>
      <c r="C761" s="13"/>
      <c r="D761" s="14"/>
      <c r="E761" s="14"/>
      <c r="F761" s="15"/>
      <c r="G761" s="16"/>
      <c r="H761" s="16"/>
      <c r="I761" s="17" t="str">
        <f aca="false">IF(OR(G761="",H761=""),"",H761-G761)</f>
        <v/>
      </c>
      <c r="J761" s="4"/>
      <c r="K761" s="4"/>
      <c r="L761" s="18" t="str">
        <f aca="false">IF(F761="","",IF(COUNTIF('DS XE - TAI XE'!$B$6:$B$505,F761)&gt;0,"✓ Có","Chưa có trong DS xe"))</f>
        <v/>
      </c>
    </row>
    <row r="762" customFormat="false" ht="15" hidden="false" customHeight="false" outlineLevel="0" collapsed="false">
      <c r="A762" s="12" t="str">
        <f aca="false">IF(F762="","",COUNTA($F$8:F762))</f>
        <v/>
      </c>
      <c r="B762" s="4"/>
      <c r="C762" s="13"/>
      <c r="D762" s="14"/>
      <c r="E762" s="14"/>
      <c r="F762" s="15"/>
      <c r="G762" s="16"/>
      <c r="H762" s="16"/>
      <c r="I762" s="17" t="str">
        <f aca="false">IF(OR(G762="",H762=""),"",H762-G762)</f>
        <v/>
      </c>
      <c r="J762" s="4"/>
      <c r="K762" s="4"/>
      <c r="L762" s="18" t="str">
        <f aca="false">IF(F762="","",IF(COUNTIF('DS XE - TAI XE'!$B$6:$B$505,F762)&gt;0,"✓ Có","Chưa có trong DS xe"))</f>
        <v/>
      </c>
    </row>
    <row r="763" customFormat="false" ht="15" hidden="false" customHeight="false" outlineLevel="0" collapsed="false">
      <c r="A763" s="12" t="str">
        <f aca="false">IF(F763="","",COUNTA($F$8:F763))</f>
        <v/>
      </c>
      <c r="B763" s="4"/>
      <c r="C763" s="13"/>
      <c r="D763" s="14"/>
      <c r="E763" s="14"/>
      <c r="F763" s="15"/>
      <c r="G763" s="16"/>
      <c r="H763" s="16"/>
      <c r="I763" s="17" t="str">
        <f aca="false">IF(OR(G763="",H763=""),"",H763-G763)</f>
        <v/>
      </c>
      <c r="J763" s="4"/>
      <c r="K763" s="4"/>
      <c r="L763" s="18" t="str">
        <f aca="false">IF(F763="","",IF(COUNTIF('DS XE - TAI XE'!$B$6:$B$505,F763)&gt;0,"✓ Có","Chưa có trong DS xe"))</f>
        <v/>
      </c>
    </row>
    <row r="764" customFormat="false" ht="15" hidden="false" customHeight="false" outlineLevel="0" collapsed="false">
      <c r="A764" s="12" t="str">
        <f aca="false">IF(F764="","",COUNTA($F$8:F764))</f>
        <v/>
      </c>
      <c r="B764" s="4"/>
      <c r="C764" s="13"/>
      <c r="D764" s="14"/>
      <c r="E764" s="14"/>
      <c r="F764" s="15"/>
      <c r="G764" s="16"/>
      <c r="H764" s="16"/>
      <c r="I764" s="17" t="str">
        <f aca="false">IF(OR(G764="",H764=""),"",H764-G764)</f>
        <v/>
      </c>
      <c r="J764" s="4"/>
      <c r="K764" s="4"/>
      <c r="L764" s="18" t="str">
        <f aca="false">IF(F764="","",IF(COUNTIF('DS XE - TAI XE'!$B$6:$B$505,F764)&gt;0,"✓ Có","Chưa có trong DS xe"))</f>
        <v/>
      </c>
    </row>
    <row r="765" customFormat="false" ht="15" hidden="false" customHeight="false" outlineLevel="0" collapsed="false">
      <c r="A765" s="12" t="str">
        <f aca="false">IF(F765="","",COUNTA($F$8:F765))</f>
        <v/>
      </c>
      <c r="B765" s="4"/>
      <c r="C765" s="13"/>
      <c r="D765" s="14"/>
      <c r="E765" s="14"/>
      <c r="F765" s="15"/>
      <c r="G765" s="16"/>
      <c r="H765" s="16"/>
      <c r="I765" s="17" t="str">
        <f aca="false">IF(OR(G765="",H765=""),"",H765-G765)</f>
        <v/>
      </c>
      <c r="J765" s="4"/>
      <c r="K765" s="4"/>
      <c r="L765" s="18" t="str">
        <f aca="false">IF(F765="","",IF(COUNTIF('DS XE - TAI XE'!$B$6:$B$505,F765)&gt;0,"✓ Có","Chưa có trong DS xe"))</f>
        <v/>
      </c>
    </row>
    <row r="766" customFormat="false" ht="15" hidden="false" customHeight="false" outlineLevel="0" collapsed="false">
      <c r="A766" s="12" t="str">
        <f aca="false">IF(F766="","",COUNTA($F$8:F766))</f>
        <v/>
      </c>
      <c r="B766" s="4"/>
      <c r="C766" s="13"/>
      <c r="D766" s="14"/>
      <c r="E766" s="14"/>
      <c r="F766" s="15"/>
      <c r="G766" s="16"/>
      <c r="H766" s="16"/>
      <c r="I766" s="17" t="str">
        <f aca="false">IF(OR(G766="",H766=""),"",H766-G766)</f>
        <v/>
      </c>
      <c r="J766" s="4"/>
      <c r="K766" s="4"/>
      <c r="L766" s="18" t="str">
        <f aca="false">IF(F766="","",IF(COUNTIF('DS XE - TAI XE'!$B$6:$B$505,F766)&gt;0,"✓ Có","Chưa có trong DS xe"))</f>
        <v/>
      </c>
    </row>
    <row r="767" customFormat="false" ht="15" hidden="false" customHeight="false" outlineLevel="0" collapsed="false">
      <c r="A767" s="12" t="str">
        <f aca="false">IF(F767="","",COUNTA($F$8:F767))</f>
        <v/>
      </c>
      <c r="B767" s="4"/>
      <c r="C767" s="13"/>
      <c r="D767" s="14"/>
      <c r="E767" s="14"/>
      <c r="F767" s="15"/>
      <c r="G767" s="16"/>
      <c r="H767" s="16"/>
      <c r="I767" s="17" t="str">
        <f aca="false">IF(OR(G767="",H767=""),"",H767-G767)</f>
        <v/>
      </c>
      <c r="J767" s="4"/>
      <c r="K767" s="4"/>
      <c r="L767" s="18" t="str">
        <f aca="false">IF(F767="","",IF(COUNTIF('DS XE - TAI XE'!$B$6:$B$505,F767)&gt;0,"✓ Có","Chưa có trong DS xe"))</f>
        <v/>
      </c>
    </row>
    <row r="768" customFormat="false" ht="15" hidden="false" customHeight="false" outlineLevel="0" collapsed="false">
      <c r="A768" s="12" t="str">
        <f aca="false">IF(F768="","",COUNTA($F$8:F768))</f>
        <v/>
      </c>
      <c r="B768" s="4"/>
      <c r="C768" s="13"/>
      <c r="D768" s="14"/>
      <c r="E768" s="14"/>
      <c r="F768" s="15"/>
      <c r="G768" s="16"/>
      <c r="H768" s="16"/>
      <c r="I768" s="17" t="str">
        <f aca="false">IF(OR(G768="",H768=""),"",H768-G768)</f>
        <v/>
      </c>
      <c r="J768" s="4"/>
      <c r="K768" s="4"/>
      <c r="L768" s="18" t="str">
        <f aca="false">IF(F768="","",IF(COUNTIF('DS XE - TAI XE'!$B$6:$B$505,F768)&gt;0,"✓ Có","Chưa có trong DS xe"))</f>
        <v/>
      </c>
    </row>
    <row r="769" customFormat="false" ht="15" hidden="false" customHeight="false" outlineLevel="0" collapsed="false">
      <c r="A769" s="12" t="str">
        <f aca="false">IF(F769="","",COUNTA($F$8:F769))</f>
        <v/>
      </c>
      <c r="B769" s="4"/>
      <c r="C769" s="13"/>
      <c r="D769" s="14"/>
      <c r="E769" s="14"/>
      <c r="F769" s="15"/>
      <c r="G769" s="16"/>
      <c r="H769" s="16"/>
      <c r="I769" s="17" t="str">
        <f aca="false">IF(OR(G769="",H769=""),"",H769-G769)</f>
        <v/>
      </c>
      <c r="J769" s="4"/>
      <c r="K769" s="4"/>
      <c r="L769" s="18" t="str">
        <f aca="false">IF(F769="","",IF(COUNTIF('DS XE - TAI XE'!$B$6:$B$505,F769)&gt;0,"✓ Có","Chưa có trong DS xe"))</f>
        <v/>
      </c>
    </row>
    <row r="770" customFormat="false" ht="15" hidden="false" customHeight="false" outlineLevel="0" collapsed="false">
      <c r="A770" s="12" t="str">
        <f aca="false">IF(F770="","",COUNTA($F$8:F770))</f>
        <v/>
      </c>
      <c r="B770" s="4"/>
      <c r="C770" s="13"/>
      <c r="D770" s="14"/>
      <c r="E770" s="14"/>
      <c r="F770" s="15"/>
      <c r="G770" s="16"/>
      <c r="H770" s="16"/>
      <c r="I770" s="17" t="str">
        <f aca="false">IF(OR(G770="",H770=""),"",H770-G770)</f>
        <v/>
      </c>
      <c r="J770" s="4"/>
      <c r="K770" s="4"/>
      <c r="L770" s="18" t="str">
        <f aca="false">IF(F770="","",IF(COUNTIF('DS XE - TAI XE'!$B$6:$B$505,F770)&gt;0,"✓ Có","Chưa có trong DS xe"))</f>
        <v/>
      </c>
    </row>
    <row r="771" customFormat="false" ht="15" hidden="false" customHeight="false" outlineLevel="0" collapsed="false">
      <c r="A771" s="12" t="str">
        <f aca="false">IF(F771="","",COUNTA($F$8:F771))</f>
        <v/>
      </c>
      <c r="B771" s="4"/>
      <c r="C771" s="13"/>
      <c r="D771" s="14"/>
      <c r="E771" s="14"/>
      <c r="F771" s="15"/>
      <c r="G771" s="16"/>
      <c r="H771" s="16"/>
      <c r="I771" s="17" t="str">
        <f aca="false">IF(OR(G771="",H771=""),"",H771-G771)</f>
        <v/>
      </c>
      <c r="J771" s="4"/>
      <c r="K771" s="4"/>
      <c r="L771" s="18" t="str">
        <f aca="false">IF(F771="","",IF(COUNTIF('DS XE - TAI XE'!$B$6:$B$505,F771)&gt;0,"✓ Có","Chưa có trong DS xe"))</f>
        <v/>
      </c>
    </row>
    <row r="772" customFormat="false" ht="15" hidden="false" customHeight="false" outlineLevel="0" collapsed="false">
      <c r="A772" s="12" t="str">
        <f aca="false">IF(F772="","",COUNTA($F$8:F772))</f>
        <v/>
      </c>
      <c r="B772" s="4"/>
      <c r="C772" s="13"/>
      <c r="D772" s="14"/>
      <c r="E772" s="14"/>
      <c r="F772" s="15"/>
      <c r="G772" s="16"/>
      <c r="H772" s="16"/>
      <c r="I772" s="17" t="str">
        <f aca="false">IF(OR(G772="",H772=""),"",H772-G772)</f>
        <v/>
      </c>
      <c r="J772" s="4"/>
      <c r="K772" s="4"/>
      <c r="L772" s="18" t="str">
        <f aca="false">IF(F772="","",IF(COUNTIF('DS XE - TAI XE'!$B$6:$B$505,F772)&gt;0,"✓ Có","Chưa có trong DS xe"))</f>
        <v/>
      </c>
    </row>
    <row r="773" customFormat="false" ht="15" hidden="false" customHeight="false" outlineLevel="0" collapsed="false">
      <c r="A773" s="12" t="str">
        <f aca="false">IF(F773="","",COUNTA($F$8:F773))</f>
        <v/>
      </c>
      <c r="B773" s="4"/>
      <c r="C773" s="13"/>
      <c r="D773" s="14"/>
      <c r="E773" s="14"/>
      <c r="F773" s="15"/>
      <c r="G773" s="16"/>
      <c r="H773" s="16"/>
      <c r="I773" s="17" t="str">
        <f aca="false">IF(OR(G773="",H773=""),"",H773-G773)</f>
        <v/>
      </c>
      <c r="J773" s="4"/>
      <c r="K773" s="4"/>
      <c r="L773" s="18" t="str">
        <f aca="false">IF(F773="","",IF(COUNTIF('DS XE - TAI XE'!$B$6:$B$505,F773)&gt;0,"✓ Có","Chưa có trong DS xe"))</f>
        <v/>
      </c>
    </row>
    <row r="774" customFormat="false" ht="15" hidden="false" customHeight="false" outlineLevel="0" collapsed="false">
      <c r="A774" s="12" t="str">
        <f aca="false">IF(F774="","",COUNTA($F$8:F774))</f>
        <v/>
      </c>
      <c r="B774" s="4"/>
      <c r="C774" s="13"/>
      <c r="D774" s="14"/>
      <c r="E774" s="14"/>
      <c r="F774" s="15"/>
      <c r="G774" s="16"/>
      <c r="H774" s="16"/>
      <c r="I774" s="17" t="str">
        <f aca="false">IF(OR(G774="",H774=""),"",H774-G774)</f>
        <v/>
      </c>
      <c r="J774" s="4"/>
      <c r="K774" s="4"/>
      <c r="L774" s="18" t="str">
        <f aca="false">IF(F774="","",IF(COUNTIF('DS XE - TAI XE'!$B$6:$B$505,F774)&gt;0,"✓ Có","Chưa có trong DS xe"))</f>
        <v/>
      </c>
    </row>
    <row r="775" customFormat="false" ht="15" hidden="false" customHeight="false" outlineLevel="0" collapsed="false">
      <c r="A775" s="12" t="str">
        <f aca="false">IF(F775="","",COUNTA($F$8:F775))</f>
        <v/>
      </c>
      <c r="B775" s="4"/>
      <c r="C775" s="13"/>
      <c r="D775" s="14"/>
      <c r="E775" s="14"/>
      <c r="F775" s="15"/>
      <c r="G775" s="16"/>
      <c r="H775" s="16"/>
      <c r="I775" s="17" t="str">
        <f aca="false">IF(OR(G775="",H775=""),"",H775-G775)</f>
        <v/>
      </c>
      <c r="J775" s="4"/>
      <c r="K775" s="4"/>
      <c r="L775" s="18" t="str">
        <f aca="false">IF(F775="","",IF(COUNTIF('DS XE - TAI XE'!$B$6:$B$505,F775)&gt;0,"✓ Có","Chưa có trong DS xe"))</f>
        <v/>
      </c>
    </row>
    <row r="776" customFormat="false" ht="15" hidden="false" customHeight="false" outlineLevel="0" collapsed="false">
      <c r="A776" s="12" t="str">
        <f aca="false">IF(F776="","",COUNTA($F$8:F776))</f>
        <v/>
      </c>
      <c r="B776" s="4"/>
      <c r="C776" s="13"/>
      <c r="D776" s="14"/>
      <c r="E776" s="14"/>
      <c r="F776" s="15"/>
      <c r="G776" s="16"/>
      <c r="H776" s="16"/>
      <c r="I776" s="17" t="str">
        <f aca="false">IF(OR(G776="",H776=""),"",H776-G776)</f>
        <v/>
      </c>
      <c r="J776" s="4"/>
      <c r="K776" s="4"/>
      <c r="L776" s="18" t="str">
        <f aca="false">IF(F776="","",IF(COUNTIF('DS XE - TAI XE'!$B$6:$B$505,F776)&gt;0,"✓ Có","Chưa có trong DS xe"))</f>
        <v/>
      </c>
    </row>
    <row r="777" customFormat="false" ht="15" hidden="false" customHeight="false" outlineLevel="0" collapsed="false">
      <c r="A777" s="12" t="str">
        <f aca="false">IF(F777="","",COUNTA($F$8:F777))</f>
        <v/>
      </c>
      <c r="B777" s="4"/>
      <c r="C777" s="13"/>
      <c r="D777" s="14"/>
      <c r="E777" s="14"/>
      <c r="F777" s="15"/>
      <c r="G777" s="16"/>
      <c r="H777" s="16"/>
      <c r="I777" s="17" t="str">
        <f aca="false">IF(OR(G777="",H777=""),"",H777-G777)</f>
        <v/>
      </c>
      <c r="J777" s="4"/>
      <c r="K777" s="4"/>
      <c r="L777" s="18" t="str">
        <f aca="false">IF(F777="","",IF(COUNTIF('DS XE - TAI XE'!$B$6:$B$505,F777)&gt;0,"✓ Có","Chưa có trong DS xe"))</f>
        <v/>
      </c>
    </row>
    <row r="778" customFormat="false" ht="15" hidden="false" customHeight="false" outlineLevel="0" collapsed="false">
      <c r="A778" s="12" t="str">
        <f aca="false">IF(F778="","",COUNTA($F$8:F778))</f>
        <v/>
      </c>
      <c r="B778" s="4"/>
      <c r="C778" s="13"/>
      <c r="D778" s="14"/>
      <c r="E778" s="14"/>
      <c r="F778" s="15"/>
      <c r="G778" s="16"/>
      <c r="H778" s="16"/>
      <c r="I778" s="17" t="str">
        <f aca="false">IF(OR(G778="",H778=""),"",H778-G778)</f>
        <v/>
      </c>
      <c r="J778" s="4"/>
      <c r="K778" s="4"/>
      <c r="L778" s="18" t="str">
        <f aca="false">IF(F778="","",IF(COUNTIF('DS XE - TAI XE'!$B$6:$B$505,F778)&gt;0,"✓ Có","Chưa có trong DS xe"))</f>
        <v/>
      </c>
    </row>
    <row r="779" customFormat="false" ht="15" hidden="false" customHeight="false" outlineLevel="0" collapsed="false">
      <c r="A779" s="12" t="str">
        <f aca="false">IF(F779="","",COUNTA($F$8:F779))</f>
        <v/>
      </c>
      <c r="B779" s="4"/>
      <c r="C779" s="13"/>
      <c r="D779" s="14"/>
      <c r="E779" s="14"/>
      <c r="F779" s="15"/>
      <c r="G779" s="16"/>
      <c r="H779" s="16"/>
      <c r="I779" s="17" t="str">
        <f aca="false">IF(OR(G779="",H779=""),"",H779-G779)</f>
        <v/>
      </c>
      <c r="J779" s="4"/>
      <c r="K779" s="4"/>
      <c r="L779" s="18" t="str">
        <f aca="false">IF(F779="","",IF(COUNTIF('DS XE - TAI XE'!$B$6:$B$505,F779)&gt;0,"✓ Có","Chưa có trong DS xe"))</f>
        <v/>
      </c>
    </row>
    <row r="780" customFormat="false" ht="15" hidden="false" customHeight="false" outlineLevel="0" collapsed="false">
      <c r="A780" s="12" t="str">
        <f aca="false">IF(F780="","",COUNTA($F$8:F780))</f>
        <v/>
      </c>
      <c r="B780" s="4"/>
      <c r="C780" s="13"/>
      <c r="D780" s="14"/>
      <c r="E780" s="14"/>
      <c r="F780" s="15"/>
      <c r="G780" s="16"/>
      <c r="H780" s="16"/>
      <c r="I780" s="17" t="str">
        <f aca="false">IF(OR(G780="",H780=""),"",H780-G780)</f>
        <v/>
      </c>
      <c r="J780" s="4"/>
      <c r="K780" s="4"/>
      <c r="L780" s="18" t="str">
        <f aca="false">IF(F780="","",IF(COUNTIF('DS XE - TAI XE'!$B$6:$B$505,F780)&gt;0,"✓ Có","Chưa có trong DS xe"))</f>
        <v/>
      </c>
    </row>
    <row r="781" customFormat="false" ht="15" hidden="false" customHeight="false" outlineLevel="0" collapsed="false">
      <c r="A781" s="12" t="str">
        <f aca="false">IF(F781="","",COUNTA($F$8:F781))</f>
        <v/>
      </c>
      <c r="B781" s="4"/>
      <c r="C781" s="13"/>
      <c r="D781" s="14"/>
      <c r="E781" s="14"/>
      <c r="F781" s="15"/>
      <c r="G781" s="16"/>
      <c r="H781" s="16"/>
      <c r="I781" s="17" t="str">
        <f aca="false">IF(OR(G781="",H781=""),"",H781-G781)</f>
        <v/>
      </c>
      <c r="J781" s="4"/>
      <c r="K781" s="4"/>
      <c r="L781" s="18" t="str">
        <f aca="false">IF(F781="","",IF(COUNTIF('DS XE - TAI XE'!$B$6:$B$505,F781)&gt;0,"✓ Có","Chưa có trong DS xe"))</f>
        <v/>
      </c>
    </row>
    <row r="782" customFormat="false" ht="15" hidden="false" customHeight="false" outlineLevel="0" collapsed="false">
      <c r="A782" s="12" t="str">
        <f aca="false">IF(F782="","",COUNTA($F$8:F782))</f>
        <v/>
      </c>
      <c r="B782" s="4"/>
      <c r="C782" s="13"/>
      <c r="D782" s="14"/>
      <c r="E782" s="14"/>
      <c r="F782" s="15"/>
      <c r="G782" s="16"/>
      <c r="H782" s="16"/>
      <c r="I782" s="17" t="str">
        <f aca="false">IF(OR(G782="",H782=""),"",H782-G782)</f>
        <v/>
      </c>
      <c r="J782" s="4"/>
      <c r="K782" s="4"/>
      <c r="L782" s="18" t="str">
        <f aca="false">IF(F782="","",IF(COUNTIF('DS XE - TAI XE'!$B$6:$B$505,F782)&gt;0,"✓ Có","Chưa có trong DS xe"))</f>
        <v/>
      </c>
    </row>
    <row r="783" customFormat="false" ht="15" hidden="false" customHeight="false" outlineLevel="0" collapsed="false">
      <c r="A783" s="12" t="str">
        <f aca="false">IF(F783="","",COUNTA($F$8:F783))</f>
        <v/>
      </c>
      <c r="B783" s="4"/>
      <c r="C783" s="13"/>
      <c r="D783" s="14"/>
      <c r="E783" s="14"/>
      <c r="F783" s="15"/>
      <c r="G783" s="16"/>
      <c r="H783" s="16"/>
      <c r="I783" s="17" t="str">
        <f aca="false">IF(OR(G783="",H783=""),"",H783-G783)</f>
        <v/>
      </c>
      <c r="J783" s="4"/>
      <c r="K783" s="4"/>
      <c r="L783" s="18" t="str">
        <f aca="false">IF(F783="","",IF(COUNTIF('DS XE - TAI XE'!$B$6:$B$505,F783)&gt;0,"✓ Có","Chưa có trong DS xe"))</f>
        <v/>
      </c>
    </row>
    <row r="784" customFormat="false" ht="15" hidden="false" customHeight="false" outlineLevel="0" collapsed="false">
      <c r="A784" s="12" t="str">
        <f aca="false">IF(F784="","",COUNTA($F$8:F784))</f>
        <v/>
      </c>
      <c r="B784" s="4"/>
      <c r="C784" s="13"/>
      <c r="D784" s="14"/>
      <c r="E784" s="14"/>
      <c r="F784" s="15"/>
      <c r="G784" s="16"/>
      <c r="H784" s="16"/>
      <c r="I784" s="17" t="str">
        <f aca="false">IF(OR(G784="",H784=""),"",H784-G784)</f>
        <v/>
      </c>
      <c r="J784" s="4"/>
      <c r="K784" s="4"/>
      <c r="L784" s="18" t="str">
        <f aca="false">IF(F784="","",IF(COUNTIF('DS XE - TAI XE'!$B$6:$B$505,F784)&gt;0,"✓ Có","Chưa có trong DS xe"))</f>
        <v/>
      </c>
    </row>
    <row r="785" customFormat="false" ht="15" hidden="false" customHeight="false" outlineLevel="0" collapsed="false">
      <c r="A785" s="12" t="str">
        <f aca="false">IF(F785="","",COUNTA($F$8:F785))</f>
        <v/>
      </c>
      <c r="B785" s="4"/>
      <c r="C785" s="13"/>
      <c r="D785" s="14"/>
      <c r="E785" s="14"/>
      <c r="F785" s="15"/>
      <c r="G785" s="16"/>
      <c r="H785" s="16"/>
      <c r="I785" s="17" t="str">
        <f aca="false">IF(OR(G785="",H785=""),"",H785-G785)</f>
        <v/>
      </c>
      <c r="J785" s="4"/>
      <c r="K785" s="4"/>
      <c r="L785" s="18" t="str">
        <f aca="false">IF(F785="","",IF(COUNTIF('DS XE - TAI XE'!$B$6:$B$505,F785)&gt;0,"✓ Có","Chưa có trong DS xe"))</f>
        <v/>
      </c>
    </row>
    <row r="786" customFormat="false" ht="15" hidden="false" customHeight="false" outlineLevel="0" collapsed="false">
      <c r="A786" s="12" t="str">
        <f aca="false">IF(F786="","",COUNTA($F$8:F786))</f>
        <v/>
      </c>
      <c r="B786" s="4"/>
      <c r="C786" s="13"/>
      <c r="D786" s="14"/>
      <c r="E786" s="14"/>
      <c r="F786" s="15"/>
      <c r="G786" s="16"/>
      <c r="H786" s="16"/>
      <c r="I786" s="17" t="str">
        <f aca="false">IF(OR(G786="",H786=""),"",H786-G786)</f>
        <v/>
      </c>
      <c r="J786" s="4"/>
      <c r="K786" s="4"/>
      <c r="L786" s="18" t="str">
        <f aca="false">IF(F786="","",IF(COUNTIF('DS XE - TAI XE'!$B$6:$B$505,F786)&gt;0,"✓ Có","Chưa có trong DS xe"))</f>
        <v/>
      </c>
    </row>
    <row r="787" customFormat="false" ht="15" hidden="false" customHeight="false" outlineLevel="0" collapsed="false">
      <c r="A787" s="12" t="str">
        <f aca="false">IF(F787="","",COUNTA($F$8:F787))</f>
        <v/>
      </c>
      <c r="B787" s="4"/>
      <c r="C787" s="13"/>
      <c r="D787" s="14"/>
      <c r="E787" s="14"/>
      <c r="F787" s="15"/>
      <c r="G787" s="16"/>
      <c r="H787" s="16"/>
      <c r="I787" s="17" t="str">
        <f aca="false">IF(OR(G787="",H787=""),"",H787-G787)</f>
        <v/>
      </c>
      <c r="J787" s="4"/>
      <c r="K787" s="4"/>
      <c r="L787" s="18" t="str">
        <f aca="false">IF(F787="","",IF(COUNTIF('DS XE - TAI XE'!$B$6:$B$505,F787)&gt;0,"✓ Có","Chưa có trong DS xe"))</f>
        <v/>
      </c>
    </row>
    <row r="788" customFormat="false" ht="15" hidden="false" customHeight="false" outlineLevel="0" collapsed="false">
      <c r="A788" s="12" t="str">
        <f aca="false">IF(F788="","",COUNTA($F$8:F788))</f>
        <v/>
      </c>
      <c r="B788" s="4"/>
      <c r="C788" s="13"/>
      <c r="D788" s="14"/>
      <c r="E788" s="14"/>
      <c r="F788" s="15"/>
      <c r="G788" s="16"/>
      <c r="H788" s="16"/>
      <c r="I788" s="17" t="str">
        <f aca="false">IF(OR(G788="",H788=""),"",H788-G788)</f>
        <v/>
      </c>
      <c r="J788" s="4"/>
      <c r="K788" s="4"/>
      <c r="L788" s="18" t="str">
        <f aca="false">IF(F788="","",IF(COUNTIF('DS XE - TAI XE'!$B$6:$B$505,F788)&gt;0,"✓ Có","Chưa có trong DS xe"))</f>
        <v/>
      </c>
    </row>
    <row r="789" customFormat="false" ht="15" hidden="false" customHeight="false" outlineLevel="0" collapsed="false">
      <c r="A789" s="12" t="str">
        <f aca="false">IF(F789="","",COUNTA($F$8:F789))</f>
        <v/>
      </c>
      <c r="B789" s="4"/>
      <c r="C789" s="13"/>
      <c r="D789" s="14"/>
      <c r="E789" s="14"/>
      <c r="F789" s="15"/>
      <c r="G789" s="16"/>
      <c r="H789" s="16"/>
      <c r="I789" s="17" t="str">
        <f aca="false">IF(OR(G789="",H789=""),"",H789-G789)</f>
        <v/>
      </c>
      <c r="J789" s="4"/>
      <c r="K789" s="4"/>
      <c r="L789" s="18" t="str">
        <f aca="false">IF(F789="","",IF(COUNTIF('DS XE - TAI XE'!$B$6:$B$505,F789)&gt;0,"✓ Có","Chưa có trong DS xe"))</f>
        <v/>
      </c>
    </row>
    <row r="790" customFormat="false" ht="15" hidden="false" customHeight="false" outlineLevel="0" collapsed="false">
      <c r="A790" s="12" t="str">
        <f aca="false">IF(F790="","",COUNTA($F$8:F790))</f>
        <v/>
      </c>
      <c r="B790" s="4"/>
      <c r="C790" s="13"/>
      <c r="D790" s="14"/>
      <c r="E790" s="14"/>
      <c r="F790" s="15"/>
      <c r="G790" s="16"/>
      <c r="H790" s="16"/>
      <c r="I790" s="17" t="str">
        <f aca="false">IF(OR(G790="",H790=""),"",H790-G790)</f>
        <v/>
      </c>
      <c r="J790" s="4"/>
      <c r="K790" s="4"/>
      <c r="L790" s="18" t="str">
        <f aca="false">IF(F790="","",IF(COUNTIF('DS XE - TAI XE'!$B$6:$B$505,F790)&gt;0,"✓ Có","Chưa có trong DS xe"))</f>
        <v/>
      </c>
    </row>
    <row r="791" customFormat="false" ht="15" hidden="false" customHeight="false" outlineLevel="0" collapsed="false">
      <c r="A791" s="12" t="str">
        <f aca="false">IF(F791="","",COUNTA($F$8:F791))</f>
        <v/>
      </c>
      <c r="B791" s="4"/>
      <c r="C791" s="13"/>
      <c r="D791" s="14"/>
      <c r="E791" s="14"/>
      <c r="F791" s="15"/>
      <c r="G791" s="16"/>
      <c r="H791" s="16"/>
      <c r="I791" s="17" t="str">
        <f aca="false">IF(OR(G791="",H791=""),"",H791-G791)</f>
        <v/>
      </c>
      <c r="J791" s="4"/>
      <c r="K791" s="4"/>
      <c r="L791" s="18" t="str">
        <f aca="false">IF(F791="","",IF(COUNTIF('DS XE - TAI XE'!$B$6:$B$505,F791)&gt;0,"✓ Có","Chưa có trong DS xe"))</f>
        <v/>
      </c>
    </row>
    <row r="792" customFormat="false" ht="15" hidden="false" customHeight="false" outlineLevel="0" collapsed="false">
      <c r="A792" s="12" t="str">
        <f aca="false">IF(F792="","",COUNTA($F$8:F792))</f>
        <v/>
      </c>
      <c r="B792" s="4"/>
      <c r="C792" s="13"/>
      <c r="D792" s="14"/>
      <c r="E792" s="14"/>
      <c r="F792" s="15"/>
      <c r="G792" s="16"/>
      <c r="H792" s="16"/>
      <c r="I792" s="17" t="str">
        <f aca="false">IF(OR(G792="",H792=""),"",H792-G792)</f>
        <v/>
      </c>
      <c r="J792" s="4"/>
      <c r="K792" s="4"/>
      <c r="L792" s="18" t="str">
        <f aca="false">IF(F792="","",IF(COUNTIF('DS XE - TAI XE'!$B$6:$B$505,F792)&gt;0,"✓ Có","Chưa có trong DS xe"))</f>
        <v/>
      </c>
    </row>
    <row r="793" customFormat="false" ht="15" hidden="false" customHeight="false" outlineLevel="0" collapsed="false">
      <c r="A793" s="12" t="str">
        <f aca="false">IF(F793="","",COUNTA($F$8:F793))</f>
        <v/>
      </c>
      <c r="B793" s="4"/>
      <c r="C793" s="13"/>
      <c r="D793" s="14"/>
      <c r="E793" s="14"/>
      <c r="F793" s="15"/>
      <c r="G793" s="16"/>
      <c r="H793" s="16"/>
      <c r="I793" s="17" t="str">
        <f aca="false">IF(OR(G793="",H793=""),"",H793-G793)</f>
        <v/>
      </c>
      <c r="J793" s="4"/>
      <c r="K793" s="4"/>
      <c r="L793" s="18" t="str">
        <f aca="false">IF(F793="","",IF(COUNTIF('DS XE - TAI XE'!$B$6:$B$505,F793)&gt;0,"✓ Có","Chưa có trong DS xe"))</f>
        <v/>
      </c>
    </row>
    <row r="794" customFormat="false" ht="15" hidden="false" customHeight="false" outlineLevel="0" collapsed="false">
      <c r="A794" s="12" t="str">
        <f aca="false">IF(F794="","",COUNTA($F$8:F794))</f>
        <v/>
      </c>
      <c r="B794" s="4"/>
      <c r="C794" s="13"/>
      <c r="D794" s="14"/>
      <c r="E794" s="14"/>
      <c r="F794" s="15"/>
      <c r="G794" s="16"/>
      <c r="H794" s="16"/>
      <c r="I794" s="17" t="str">
        <f aca="false">IF(OR(G794="",H794=""),"",H794-G794)</f>
        <v/>
      </c>
      <c r="J794" s="4"/>
      <c r="K794" s="4"/>
      <c r="L794" s="18" t="str">
        <f aca="false">IF(F794="","",IF(COUNTIF('DS XE - TAI XE'!$B$6:$B$505,F794)&gt;0,"✓ Có","Chưa có trong DS xe"))</f>
        <v/>
      </c>
    </row>
    <row r="795" customFormat="false" ht="15" hidden="false" customHeight="false" outlineLevel="0" collapsed="false">
      <c r="A795" s="12" t="str">
        <f aca="false">IF(F795="","",COUNTA($F$8:F795))</f>
        <v/>
      </c>
      <c r="B795" s="4"/>
      <c r="C795" s="13"/>
      <c r="D795" s="14"/>
      <c r="E795" s="14"/>
      <c r="F795" s="15"/>
      <c r="G795" s="16"/>
      <c r="H795" s="16"/>
      <c r="I795" s="17" t="str">
        <f aca="false">IF(OR(G795="",H795=""),"",H795-G795)</f>
        <v/>
      </c>
      <c r="J795" s="4"/>
      <c r="K795" s="4"/>
      <c r="L795" s="18" t="str">
        <f aca="false">IF(F795="","",IF(COUNTIF('DS XE - TAI XE'!$B$6:$B$505,F795)&gt;0,"✓ Có","Chưa có trong DS xe"))</f>
        <v/>
      </c>
    </row>
    <row r="796" customFormat="false" ht="15" hidden="false" customHeight="false" outlineLevel="0" collapsed="false">
      <c r="A796" s="12" t="str">
        <f aca="false">IF(F796="","",COUNTA($F$8:F796))</f>
        <v/>
      </c>
      <c r="B796" s="4"/>
      <c r="C796" s="13"/>
      <c r="D796" s="14"/>
      <c r="E796" s="14"/>
      <c r="F796" s="15"/>
      <c r="G796" s="16"/>
      <c r="H796" s="16"/>
      <c r="I796" s="17" t="str">
        <f aca="false">IF(OR(G796="",H796=""),"",H796-G796)</f>
        <v/>
      </c>
      <c r="J796" s="4"/>
      <c r="K796" s="4"/>
      <c r="L796" s="18" t="str">
        <f aca="false">IF(F796="","",IF(COUNTIF('DS XE - TAI XE'!$B$6:$B$505,F796)&gt;0,"✓ Có","Chưa có trong DS xe"))</f>
        <v/>
      </c>
    </row>
    <row r="797" customFormat="false" ht="15" hidden="false" customHeight="false" outlineLevel="0" collapsed="false">
      <c r="A797" s="12" t="str">
        <f aca="false">IF(F797="","",COUNTA($F$8:F797))</f>
        <v/>
      </c>
      <c r="B797" s="4"/>
      <c r="C797" s="13"/>
      <c r="D797" s="14"/>
      <c r="E797" s="14"/>
      <c r="F797" s="15"/>
      <c r="G797" s="16"/>
      <c r="H797" s="16"/>
      <c r="I797" s="17" t="str">
        <f aca="false">IF(OR(G797="",H797=""),"",H797-G797)</f>
        <v/>
      </c>
      <c r="J797" s="4"/>
      <c r="K797" s="4"/>
      <c r="L797" s="18" t="str">
        <f aca="false">IF(F797="","",IF(COUNTIF('DS XE - TAI XE'!$B$6:$B$505,F797)&gt;0,"✓ Có","Chưa có trong DS xe"))</f>
        <v/>
      </c>
    </row>
    <row r="798" customFormat="false" ht="15" hidden="false" customHeight="false" outlineLevel="0" collapsed="false">
      <c r="A798" s="12" t="str">
        <f aca="false">IF(F798="","",COUNTA($F$8:F798))</f>
        <v/>
      </c>
      <c r="B798" s="4"/>
      <c r="C798" s="13"/>
      <c r="D798" s="14"/>
      <c r="E798" s="14"/>
      <c r="F798" s="15"/>
      <c r="G798" s="16"/>
      <c r="H798" s="16"/>
      <c r="I798" s="17" t="str">
        <f aca="false">IF(OR(G798="",H798=""),"",H798-G798)</f>
        <v/>
      </c>
      <c r="J798" s="4"/>
      <c r="K798" s="4"/>
      <c r="L798" s="18" t="str">
        <f aca="false">IF(F798="","",IF(COUNTIF('DS XE - TAI XE'!$B$6:$B$505,F798)&gt;0,"✓ Có","Chưa có trong DS xe"))</f>
        <v/>
      </c>
    </row>
    <row r="799" customFormat="false" ht="15" hidden="false" customHeight="false" outlineLevel="0" collapsed="false">
      <c r="A799" s="12" t="str">
        <f aca="false">IF(F799="","",COUNTA($F$8:F799))</f>
        <v/>
      </c>
      <c r="B799" s="4"/>
      <c r="C799" s="13"/>
      <c r="D799" s="14"/>
      <c r="E799" s="14"/>
      <c r="F799" s="15"/>
      <c r="G799" s="16"/>
      <c r="H799" s="16"/>
      <c r="I799" s="17" t="str">
        <f aca="false">IF(OR(G799="",H799=""),"",H799-G799)</f>
        <v/>
      </c>
      <c r="J799" s="4"/>
      <c r="K799" s="4"/>
      <c r="L799" s="18" t="str">
        <f aca="false">IF(F799="","",IF(COUNTIF('DS XE - TAI XE'!$B$6:$B$505,F799)&gt;0,"✓ Có","Chưa có trong DS xe"))</f>
        <v/>
      </c>
    </row>
    <row r="800" customFormat="false" ht="15" hidden="false" customHeight="false" outlineLevel="0" collapsed="false">
      <c r="A800" s="12" t="str">
        <f aca="false">IF(F800="","",COUNTA($F$8:F800))</f>
        <v/>
      </c>
      <c r="B800" s="4"/>
      <c r="C800" s="13"/>
      <c r="D800" s="14"/>
      <c r="E800" s="14"/>
      <c r="F800" s="15"/>
      <c r="G800" s="16"/>
      <c r="H800" s="16"/>
      <c r="I800" s="17" t="str">
        <f aca="false">IF(OR(G800="",H800=""),"",H800-G800)</f>
        <v/>
      </c>
      <c r="J800" s="4"/>
      <c r="K800" s="4"/>
      <c r="L800" s="18" t="str">
        <f aca="false">IF(F800="","",IF(COUNTIF('DS XE - TAI XE'!$B$6:$B$505,F800)&gt;0,"✓ Có","Chưa có trong DS xe"))</f>
        <v/>
      </c>
    </row>
    <row r="801" customFormat="false" ht="15" hidden="false" customHeight="false" outlineLevel="0" collapsed="false">
      <c r="A801" s="12" t="str">
        <f aca="false">IF(F801="","",COUNTA($F$8:F801))</f>
        <v/>
      </c>
      <c r="B801" s="4"/>
      <c r="C801" s="13"/>
      <c r="D801" s="14"/>
      <c r="E801" s="14"/>
      <c r="F801" s="15"/>
      <c r="G801" s="16"/>
      <c r="H801" s="16"/>
      <c r="I801" s="17" t="str">
        <f aca="false">IF(OR(G801="",H801=""),"",H801-G801)</f>
        <v/>
      </c>
      <c r="J801" s="4"/>
      <c r="K801" s="4"/>
      <c r="L801" s="18" t="str">
        <f aca="false">IF(F801="","",IF(COUNTIF('DS XE - TAI XE'!$B$6:$B$505,F801)&gt;0,"✓ Có","Chưa có trong DS xe"))</f>
        <v/>
      </c>
    </row>
    <row r="802" customFormat="false" ht="15" hidden="false" customHeight="false" outlineLevel="0" collapsed="false">
      <c r="A802" s="12" t="str">
        <f aca="false">IF(F802="","",COUNTA($F$8:F802))</f>
        <v/>
      </c>
      <c r="B802" s="4"/>
      <c r="C802" s="13"/>
      <c r="D802" s="14"/>
      <c r="E802" s="14"/>
      <c r="F802" s="15"/>
      <c r="G802" s="16"/>
      <c r="H802" s="16"/>
      <c r="I802" s="17" t="str">
        <f aca="false">IF(OR(G802="",H802=""),"",H802-G802)</f>
        <v/>
      </c>
      <c r="J802" s="4"/>
      <c r="K802" s="4"/>
      <c r="L802" s="18" t="str">
        <f aca="false">IF(F802="","",IF(COUNTIF('DS XE - TAI XE'!$B$6:$B$505,F802)&gt;0,"✓ Có","Chưa có trong DS xe"))</f>
        <v/>
      </c>
    </row>
    <row r="803" customFormat="false" ht="15" hidden="false" customHeight="false" outlineLevel="0" collapsed="false">
      <c r="A803" s="12" t="str">
        <f aca="false">IF(F803="","",COUNTA($F$8:F803))</f>
        <v/>
      </c>
      <c r="B803" s="4"/>
      <c r="C803" s="13"/>
      <c r="D803" s="14"/>
      <c r="E803" s="14"/>
      <c r="F803" s="15"/>
      <c r="G803" s="16"/>
      <c r="H803" s="16"/>
      <c r="I803" s="17" t="str">
        <f aca="false">IF(OR(G803="",H803=""),"",H803-G803)</f>
        <v/>
      </c>
      <c r="J803" s="4"/>
      <c r="K803" s="4"/>
      <c r="L803" s="18" t="str">
        <f aca="false">IF(F803="","",IF(COUNTIF('DS XE - TAI XE'!$B$6:$B$505,F803)&gt;0,"✓ Có","Chưa có trong DS xe"))</f>
        <v/>
      </c>
    </row>
    <row r="804" customFormat="false" ht="15" hidden="false" customHeight="false" outlineLevel="0" collapsed="false">
      <c r="A804" s="12" t="str">
        <f aca="false">IF(F804="","",COUNTA($F$8:F804))</f>
        <v/>
      </c>
      <c r="B804" s="4"/>
      <c r="C804" s="13"/>
      <c r="D804" s="14"/>
      <c r="E804" s="14"/>
      <c r="F804" s="15"/>
      <c r="G804" s="16"/>
      <c r="H804" s="16"/>
      <c r="I804" s="17" t="str">
        <f aca="false">IF(OR(G804="",H804=""),"",H804-G804)</f>
        <v/>
      </c>
      <c r="J804" s="4"/>
      <c r="K804" s="4"/>
      <c r="L804" s="18" t="str">
        <f aca="false">IF(F804="","",IF(COUNTIF('DS XE - TAI XE'!$B$6:$B$505,F804)&gt;0,"✓ Có","Chưa có trong DS xe"))</f>
        <v/>
      </c>
    </row>
    <row r="805" customFormat="false" ht="15" hidden="false" customHeight="false" outlineLevel="0" collapsed="false">
      <c r="A805" s="12" t="str">
        <f aca="false">IF(F805="","",COUNTA($F$8:F805))</f>
        <v/>
      </c>
      <c r="B805" s="4"/>
      <c r="C805" s="13"/>
      <c r="D805" s="14"/>
      <c r="E805" s="14"/>
      <c r="F805" s="15"/>
      <c r="G805" s="16"/>
      <c r="H805" s="16"/>
      <c r="I805" s="17" t="str">
        <f aca="false">IF(OR(G805="",H805=""),"",H805-G805)</f>
        <v/>
      </c>
      <c r="J805" s="4"/>
      <c r="K805" s="4"/>
      <c r="L805" s="18" t="str">
        <f aca="false">IF(F805="","",IF(COUNTIF('DS XE - TAI XE'!$B$6:$B$505,F805)&gt;0,"✓ Có","Chưa có trong DS xe"))</f>
        <v/>
      </c>
    </row>
    <row r="806" customFormat="false" ht="15" hidden="false" customHeight="false" outlineLevel="0" collapsed="false">
      <c r="A806" s="12" t="str">
        <f aca="false">IF(F806="","",COUNTA($F$8:F806))</f>
        <v/>
      </c>
      <c r="B806" s="4"/>
      <c r="C806" s="13"/>
      <c r="D806" s="14"/>
      <c r="E806" s="14"/>
      <c r="F806" s="15"/>
      <c r="G806" s="16"/>
      <c r="H806" s="16"/>
      <c r="I806" s="17" t="str">
        <f aca="false">IF(OR(G806="",H806=""),"",H806-G806)</f>
        <v/>
      </c>
      <c r="J806" s="4"/>
      <c r="K806" s="4"/>
      <c r="L806" s="18" t="str">
        <f aca="false">IF(F806="","",IF(COUNTIF('DS XE - TAI XE'!$B$6:$B$505,F806)&gt;0,"✓ Có","Chưa có trong DS xe"))</f>
        <v/>
      </c>
    </row>
    <row r="807" customFormat="false" ht="15" hidden="false" customHeight="false" outlineLevel="0" collapsed="false">
      <c r="A807" s="12" t="str">
        <f aca="false">IF(F807="","",COUNTA($F$8:F807))</f>
        <v/>
      </c>
      <c r="B807" s="4"/>
      <c r="C807" s="13"/>
      <c r="D807" s="14"/>
      <c r="E807" s="14"/>
      <c r="F807" s="15"/>
      <c r="G807" s="16"/>
      <c r="H807" s="16"/>
      <c r="I807" s="17" t="str">
        <f aca="false">IF(OR(G807="",H807=""),"",H807-G807)</f>
        <v/>
      </c>
      <c r="J807" s="4"/>
      <c r="K807" s="4"/>
      <c r="L807" s="18" t="str">
        <f aca="false">IF(F807="","",IF(COUNTIF('DS XE - TAI XE'!$B$6:$B$505,F807)&gt;0,"✓ Có","Chưa có trong DS xe"))</f>
        <v/>
      </c>
    </row>
    <row r="808" customFormat="false" ht="15" hidden="false" customHeight="false" outlineLevel="0" collapsed="false">
      <c r="A808" s="12" t="str">
        <f aca="false">IF(F808="","",COUNTA($F$8:F808))</f>
        <v/>
      </c>
      <c r="B808" s="4"/>
      <c r="C808" s="13"/>
      <c r="D808" s="14"/>
      <c r="E808" s="14"/>
      <c r="F808" s="15"/>
      <c r="G808" s="16"/>
      <c r="H808" s="16"/>
      <c r="I808" s="17" t="str">
        <f aca="false">IF(OR(G808="",H808=""),"",H808-G808)</f>
        <v/>
      </c>
      <c r="J808" s="4"/>
      <c r="K808" s="4"/>
      <c r="L808" s="18" t="str">
        <f aca="false">IF(F808="","",IF(COUNTIF('DS XE - TAI XE'!$B$6:$B$505,F808)&gt;0,"✓ Có","Chưa có trong DS xe"))</f>
        <v/>
      </c>
    </row>
    <row r="809" customFormat="false" ht="15" hidden="false" customHeight="false" outlineLevel="0" collapsed="false">
      <c r="A809" s="12" t="str">
        <f aca="false">IF(F809="","",COUNTA($F$8:F809))</f>
        <v/>
      </c>
      <c r="B809" s="4"/>
      <c r="C809" s="13"/>
      <c r="D809" s="14"/>
      <c r="E809" s="14"/>
      <c r="F809" s="15"/>
      <c r="G809" s="16"/>
      <c r="H809" s="16"/>
      <c r="I809" s="17" t="str">
        <f aca="false">IF(OR(G809="",H809=""),"",H809-G809)</f>
        <v/>
      </c>
      <c r="J809" s="4"/>
      <c r="K809" s="4"/>
      <c r="L809" s="18" t="str">
        <f aca="false">IF(F809="","",IF(COUNTIF('DS XE - TAI XE'!$B$6:$B$505,F809)&gt;0,"✓ Có","Chưa có trong DS xe"))</f>
        <v/>
      </c>
    </row>
    <row r="810" customFormat="false" ht="15" hidden="false" customHeight="false" outlineLevel="0" collapsed="false">
      <c r="A810" s="12" t="str">
        <f aca="false">IF(F810="","",COUNTA($F$8:F810))</f>
        <v/>
      </c>
      <c r="B810" s="4"/>
      <c r="C810" s="13"/>
      <c r="D810" s="14"/>
      <c r="E810" s="14"/>
      <c r="F810" s="15"/>
      <c r="G810" s="16"/>
      <c r="H810" s="16"/>
      <c r="I810" s="17" t="str">
        <f aca="false">IF(OR(G810="",H810=""),"",H810-G810)</f>
        <v/>
      </c>
      <c r="J810" s="4"/>
      <c r="K810" s="4"/>
      <c r="L810" s="18" t="str">
        <f aca="false">IF(F810="","",IF(COUNTIF('DS XE - TAI XE'!$B$6:$B$505,F810)&gt;0,"✓ Có","Chưa có trong DS xe"))</f>
        <v/>
      </c>
    </row>
    <row r="811" customFormat="false" ht="15" hidden="false" customHeight="false" outlineLevel="0" collapsed="false">
      <c r="A811" s="12" t="str">
        <f aca="false">IF(F811="","",COUNTA($F$8:F811))</f>
        <v/>
      </c>
      <c r="B811" s="4"/>
      <c r="C811" s="13"/>
      <c r="D811" s="14"/>
      <c r="E811" s="14"/>
      <c r="F811" s="15"/>
      <c r="G811" s="16"/>
      <c r="H811" s="16"/>
      <c r="I811" s="17" t="str">
        <f aca="false">IF(OR(G811="",H811=""),"",H811-G811)</f>
        <v/>
      </c>
      <c r="J811" s="4"/>
      <c r="K811" s="4"/>
      <c r="L811" s="18" t="str">
        <f aca="false">IF(F811="","",IF(COUNTIF('DS XE - TAI XE'!$B$6:$B$505,F811)&gt;0,"✓ Có","Chưa có trong DS xe"))</f>
        <v/>
      </c>
    </row>
    <row r="812" customFormat="false" ht="15" hidden="false" customHeight="false" outlineLevel="0" collapsed="false">
      <c r="A812" s="12" t="str">
        <f aca="false">IF(F812="","",COUNTA($F$8:F812))</f>
        <v/>
      </c>
      <c r="B812" s="4"/>
      <c r="C812" s="13"/>
      <c r="D812" s="14"/>
      <c r="E812" s="14"/>
      <c r="F812" s="15"/>
      <c r="G812" s="16"/>
      <c r="H812" s="16"/>
      <c r="I812" s="17" t="str">
        <f aca="false">IF(OR(G812="",H812=""),"",H812-G812)</f>
        <v/>
      </c>
      <c r="J812" s="4"/>
      <c r="K812" s="4"/>
      <c r="L812" s="18" t="str">
        <f aca="false">IF(F812="","",IF(COUNTIF('DS XE - TAI XE'!$B$6:$B$505,F812)&gt;0,"✓ Có","Chưa có trong DS xe"))</f>
        <v/>
      </c>
    </row>
    <row r="813" customFormat="false" ht="15" hidden="false" customHeight="false" outlineLevel="0" collapsed="false">
      <c r="A813" s="12" t="str">
        <f aca="false">IF(F813="","",COUNTA($F$8:F813))</f>
        <v/>
      </c>
      <c r="B813" s="4"/>
      <c r="C813" s="13"/>
      <c r="D813" s="14"/>
      <c r="E813" s="14"/>
      <c r="F813" s="15"/>
      <c r="G813" s="16"/>
      <c r="H813" s="16"/>
      <c r="I813" s="17" t="str">
        <f aca="false">IF(OR(G813="",H813=""),"",H813-G813)</f>
        <v/>
      </c>
      <c r="J813" s="4"/>
      <c r="K813" s="4"/>
      <c r="L813" s="18" t="str">
        <f aca="false">IF(F813="","",IF(COUNTIF('DS XE - TAI XE'!$B$6:$B$505,F813)&gt;0,"✓ Có","Chưa có trong DS xe"))</f>
        <v/>
      </c>
    </row>
    <row r="814" customFormat="false" ht="15" hidden="false" customHeight="false" outlineLevel="0" collapsed="false">
      <c r="A814" s="12" t="str">
        <f aca="false">IF(F814="","",COUNTA($F$8:F814))</f>
        <v/>
      </c>
      <c r="B814" s="4"/>
      <c r="C814" s="13"/>
      <c r="D814" s="14"/>
      <c r="E814" s="14"/>
      <c r="F814" s="15"/>
      <c r="G814" s="16"/>
      <c r="H814" s="16"/>
      <c r="I814" s="17" t="str">
        <f aca="false">IF(OR(G814="",H814=""),"",H814-G814)</f>
        <v/>
      </c>
      <c r="J814" s="4"/>
      <c r="K814" s="4"/>
      <c r="L814" s="18" t="str">
        <f aca="false">IF(F814="","",IF(COUNTIF('DS XE - TAI XE'!$B$6:$B$505,F814)&gt;0,"✓ Có","Chưa có trong DS xe"))</f>
        <v/>
      </c>
    </row>
    <row r="815" customFormat="false" ht="15" hidden="false" customHeight="false" outlineLevel="0" collapsed="false">
      <c r="A815" s="12" t="str">
        <f aca="false">IF(F815="","",COUNTA($F$8:F815))</f>
        <v/>
      </c>
      <c r="B815" s="4"/>
      <c r="C815" s="13"/>
      <c r="D815" s="14"/>
      <c r="E815" s="14"/>
      <c r="F815" s="15"/>
      <c r="G815" s="16"/>
      <c r="H815" s="16"/>
      <c r="I815" s="17" t="str">
        <f aca="false">IF(OR(G815="",H815=""),"",H815-G815)</f>
        <v/>
      </c>
      <c r="J815" s="4"/>
      <c r="K815" s="4"/>
      <c r="L815" s="18" t="str">
        <f aca="false">IF(F815="","",IF(COUNTIF('DS XE - TAI XE'!$B$6:$B$505,F815)&gt;0,"✓ Có","Chưa có trong DS xe"))</f>
        <v/>
      </c>
    </row>
    <row r="816" customFormat="false" ht="15" hidden="false" customHeight="false" outlineLevel="0" collapsed="false">
      <c r="A816" s="12" t="str">
        <f aca="false">IF(F816="","",COUNTA($F$8:F816))</f>
        <v/>
      </c>
      <c r="B816" s="4"/>
      <c r="C816" s="13"/>
      <c r="D816" s="14"/>
      <c r="E816" s="14"/>
      <c r="F816" s="15"/>
      <c r="G816" s="16"/>
      <c r="H816" s="16"/>
      <c r="I816" s="17" t="str">
        <f aca="false">IF(OR(G816="",H816=""),"",H816-G816)</f>
        <v/>
      </c>
      <c r="J816" s="4"/>
      <c r="K816" s="4"/>
      <c r="L816" s="18" t="str">
        <f aca="false">IF(F816="","",IF(COUNTIF('DS XE - TAI XE'!$B$6:$B$505,F816)&gt;0,"✓ Có","Chưa có trong DS xe"))</f>
        <v/>
      </c>
    </row>
    <row r="817" customFormat="false" ht="15" hidden="false" customHeight="false" outlineLevel="0" collapsed="false">
      <c r="A817" s="12" t="str">
        <f aca="false">IF(F817="","",COUNTA($F$8:F817))</f>
        <v/>
      </c>
      <c r="B817" s="4"/>
      <c r="C817" s="13"/>
      <c r="D817" s="14"/>
      <c r="E817" s="14"/>
      <c r="F817" s="15"/>
      <c r="G817" s="16"/>
      <c r="H817" s="16"/>
      <c r="I817" s="17" t="str">
        <f aca="false">IF(OR(G817="",H817=""),"",H817-G817)</f>
        <v/>
      </c>
      <c r="J817" s="4"/>
      <c r="K817" s="4"/>
      <c r="L817" s="18" t="str">
        <f aca="false">IF(F817="","",IF(COUNTIF('DS XE - TAI XE'!$B$6:$B$505,F817)&gt;0,"✓ Có","Chưa có trong DS xe"))</f>
        <v/>
      </c>
    </row>
    <row r="818" customFormat="false" ht="15" hidden="false" customHeight="false" outlineLevel="0" collapsed="false">
      <c r="A818" s="12" t="str">
        <f aca="false">IF(F818="","",COUNTA($F$8:F818))</f>
        <v/>
      </c>
      <c r="B818" s="4"/>
      <c r="C818" s="13"/>
      <c r="D818" s="14"/>
      <c r="E818" s="14"/>
      <c r="F818" s="15"/>
      <c r="G818" s="16"/>
      <c r="H818" s="16"/>
      <c r="I818" s="17" t="str">
        <f aca="false">IF(OR(G818="",H818=""),"",H818-G818)</f>
        <v/>
      </c>
      <c r="J818" s="4"/>
      <c r="K818" s="4"/>
      <c r="L818" s="18" t="str">
        <f aca="false">IF(F818="","",IF(COUNTIF('DS XE - TAI XE'!$B$6:$B$505,F818)&gt;0,"✓ Có","Chưa có trong DS xe"))</f>
        <v/>
      </c>
    </row>
    <row r="819" customFormat="false" ht="15" hidden="false" customHeight="false" outlineLevel="0" collapsed="false">
      <c r="A819" s="12" t="str">
        <f aca="false">IF(F819="","",COUNTA($F$8:F819))</f>
        <v/>
      </c>
      <c r="B819" s="4"/>
      <c r="C819" s="13"/>
      <c r="D819" s="14"/>
      <c r="E819" s="14"/>
      <c r="F819" s="15"/>
      <c r="G819" s="16"/>
      <c r="H819" s="16"/>
      <c r="I819" s="17" t="str">
        <f aca="false">IF(OR(G819="",H819=""),"",H819-G819)</f>
        <v/>
      </c>
      <c r="J819" s="4"/>
      <c r="K819" s="4"/>
      <c r="L819" s="18" t="str">
        <f aca="false">IF(F819="","",IF(COUNTIF('DS XE - TAI XE'!$B$6:$B$505,F819)&gt;0,"✓ Có","Chưa có trong DS xe"))</f>
        <v/>
      </c>
    </row>
    <row r="820" customFormat="false" ht="15" hidden="false" customHeight="false" outlineLevel="0" collapsed="false">
      <c r="A820" s="12" t="str">
        <f aca="false">IF(F820="","",COUNTA($F$8:F820))</f>
        <v/>
      </c>
      <c r="B820" s="4"/>
      <c r="C820" s="13"/>
      <c r="D820" s="14"/>
      <c r="E820" s="14"/>
      <c r="F820" s="15"/>
      <c r="G820" s="16"/>
      <c r="H820" s="16"/>
      <c r="I820" s="17" t="str">
        <f aca="false">IF(OR(G820="",H820=""),"",H820-G820)</f>
        <v/>
      </c>
      <c r="J820" s="4"/>
      <c r="K820" s="4"/>
      <c r="L820" s="18" t="str">
        <f aca="false">IF(F820="","",IF(COUNTIF('DS XE - TAI XE'!$B$6:$B$505,F820)&gt;0,"✓ Có","Chưa có trong DS xe"))</f>
        <v/>
      </c>
    </row>
    <row r="821" customFormat="false" ht="15" hidden="false" customHeight="false" outlineLevel="0" collapsed="false">
      <c r="A821" s="12" t="str">
        <f aca="false">IF(F821="","",COUNTA($F$8:F821))</f>
        <v/>
      </c>
      <c r="B821" s="4"/>
      <c r="C821" s="13"/>
      <c r="D821" s="14"/>
      <c r="E821" s="14"/>
      <c r="F821" s="15"/>
      <c r="G821" s="16"/>
      <c r="H821" s="16"/>
      <c r="I821" s="17" t="str">
        <f aca="false">IF(OR(G821="",H821=""),"",H821-G821)</f>
        <v/>
      </c>
      <c r="J821" s="4"/>
      <c r="K821" s="4"/>
      <c r="L821" s="18" t="str">
        <f aca="false">IF(F821="","",IF(COUNTIF('DS XE - TAI XE'!$B$6:$B$505,F821)&gt;0,"✓ Có","Chưa có trong DS xe"))</f>
        <v/>
      </c>
    </row>
    <row r="822" customFormat="false" ht="15" hidden="false" customHeight="false" outlineLevel="0" collapsed="false">
      <c r="A822" s="12" t="str">
        <f aca="false">IF(F822="","",COUNTA($F$8:F822))</f>
        <v/>
      </c>
      <c r="B822" s="4"/>
      <c r="C822" s="13"/>
      <c r="D822" s="14"/>
      <c r="E822" s="14"/>
      <c r="F822" s="15"/>
      <c r="G822" s="16"/>
      <c r="H822" s="16"/>
      <c r="I822" s="17" t="str">
        <f aca="false">IF(OR(G822="",H822=""),"",H822-G822)</f>
        <v/>
      </c>
      <c r="J822" s="4"/>
      <c r="K822" s="4"/>
      <c r="L822" s="18" t="str">
        <f aca="false">IF(F822="","",IF(COUNTIF('DS XE - TAI XE'!$B$6:$B$505,F822)&gt;0,"✓ Có","Chưa có trong DS xe"))</f>
        <v/>
      </c>
    </row>
    <row r="823" customFormat="false" ht="15" hidden="false" customHeight="false" outlineLevel="0" collapsed="false">
      <c r="A823" s="12" t="str">
        <f aca="false">IF(F823="","",COUNTA($F$8:F823))</f>
        <v/>
      </c>
      <c r="B823" s="4"/>
      <c r="C823" s="13"/>
      <c r="D823" s="14"/>
      <c r="E823" s="14"/>
      <c r="F823" s="15"/>
      <c r="G823" s="16"/>
      <c r="H823" s="16"/>
      <c r="I823" s="17" t="str">
        <f aca="false">IF(OR(G823="",H823=""),"",H823-G823)</f>
        <v/>
      </c>
      <c r="J823" s="4"/>
      <c r="K823" s="4"/>
      <c r="L823" s="18" t="str">
        <f aca="false">IF(F823="","",IF(COUNTIF('DS XE - TAI XE'!$B$6:$B$505,F823)&gt;0,"✓ Có","Chưa có trong DS xe"))</f>
        <v/>
      </c>
    </row>
    <row r="824" customFormat="false" ht="15" hidden="false" customHeight="false" outlineLevel="0" collapsed="false">
      <c r="A824" s="12" t="str">
        <f aca="false">IF(F824="","",COUNTA($F$8:F824))</f>
        <v/>
      </c>
      <c r="B824" s="4"/>
      <c r="C824" s="13"/>
      <c r="D824" s="14"/>
      <c r="E824" s="14"/>
      <c r="F824" s="15"/>
      <c r="G824" s="16"/>
      <c r="H824" s="16"/>
      <c r="I824" s="17" t="str">
        <f aca="false">IF(OR(G824="",H824=""),"",H824-G824)</f>
        <v/>
      </c>
      <c r="J824" s="4"/>
      <c r="K824" s="4"/>
      <c r="L824" s="18" t="str">
        <f aca="false">IF(F824="","",IF(COUNTIF('DS XE - TAI XE'!$B$6:$B$505,F824)&gt;0,"✓ Có","Chưa có trong DS xe"))</f>
        <v/>
      </c>
    </row>
    <row r="825" customFormat="false" ht="15" hidden="false" customHeight="false" outlineLevel="0" collapsed="false">
      <c r="A825" s="12" t="str">
        <f aca="false">IF(F825="","",COUNTA($F$8:F825))</f>
        <v/>
      </c>
      <c r="B825" s="4"/>
      <c r="C825" s="13"/>
      <c r="D825" s="14"/>
      <c r="E825" s="14"/>
      <c r="F825" s="15"/>
      <c r="G825" s="16"/>
      <c r="H825" s="16"/>
      <c r="I825" s="17" t="str">
        <f aca="false">IF(OR(G825="",H825=""),"",H825-G825)</f>
        <v/>
      </c>
      <c r="J825" s="4"/>
      <c r="K825" s="4"/>
      <c r="L825" s="18" t="str">
        <f aca="false">IF(F825="","",IF(COUNTIF('DS XE - TAI XE'!$B$6:$B$505,F825)&gt;0,"✓ Có","Chưa có trong DS xe"))</f>
        <v/>
      </c>
    </row>
    <row r="826" customFormat="false" ht="15" hidden="false" customHeight="false" outlineLevel="0" collapsed="false">
      <c r="A826" s="12" t="str">
        <f aca="false">IF(F826="","",COUNTA($F$8:F826))</f>
        <v/>
      </c>
      <c r="B826" s="4"/>
      <c r="C826" s="13"/>
      <c r="D826" s="14"/>
      <c r="E826" s="14"/>
      <c r="F826" s="15"/>
      <c r="G826" s="16"/>
      <c r="H826" s="16"/>
      <c r="I826" s="17" t="str">
        <f aca="false">IF(OR(G826="",H826=""),"",H826-G826)</f>
        <v/>
      </c>
      <c r="J826" s="4"/>
      <c r="K826" s="4"/>
      <c r="L826" s="18" t="str">
        <f aca="false">IF(F826="","",IF(COUNTIF('DS XE - TAI XE'!$B$6:$B$505,F826)&gt;0,"✓ Có","Chưa có trong DS xe"))</f>
        <v/>
      </c>
    </row>
    <row r="827" customFormat="false" ht="15" hidden="false" customHeight="false" outlineLevel="0" collapsed="false">
      <c r="A827" s="12" t="str">
        <f aca="false">IF(F827="","",COUNTA($F$8:F827))</f>
        <v/>
      </c>
      <c r="B827" s="4"/>
      <c r="C827" s="13"/>
      <c r="D827" s="14"/>
      <c r="E827" s="14"/>
      <c r="F827" s="15"/>
      <c r="G827" s="16"/>
      <c r="H827" s="16"/>
      <c r="I827" s="17" t="str">
        <f aca="false">IF(OR(G827="",H827=""),"",H827-G827)</f>
        <v/>
      </c>
      <c r="J827" s="4"/>
      <c r="K827" s="4"/>
      <c r="L827" s="18" t="str">
        <f aca="false">IF(F827="","",IF(COUNTIF('DS XE - TAI XE'!$B$6:$B$505,F827)&gt;0,"✓ Có","Chưa có trong DS xe"))</f>
        <v/>
      </c>
    </row>
    <row r="828" customFormat="false" ht="15" hidden="false" customHeight="false" outlineLevel="0" collapsed="false">
      <c r="A828" s="12" t="str">
        <f aca="false">IF(F828="","",COUNTA($F$8:F828))</f>
        <v/>
      </c>
      <c r="B828" s="4"/>
      <c r="C828" s="13"/>
      <c r="D828" s="14"/>
      <c r="E828" s="14"/>
      <c r="F828" s="15"/>
      <c r="G828" s="16"/>
      <c r="H828" s="16"/>
      <c r="I828" s="17" t="str">
        <f aca="false">IF(OR(G828="",H828=""),"",H828-G828)</f>
        <v/>
      </c>
      <c r="J828" s="4"/>
      <c r="K828" s="4"/>
      <c r="L828" s="18" t="str">
        <f aca="false">IF(F828="","",IF(COUNTIF('DS XE - TAI XE'!$B$6:$B$505,F828)&gt;0,"✓ Có","Chưa có trong DS xe"))</f>
        <v/>
      </c>
    </row>
    <row r="829" customFormat="false" ht="15" hidden="false" customHeight="false" outlineLevel="0" collapsed="false">
      <c r="A829" s="12" t="str">
        <f aca="false">IF(F829="","",COUNTA($F$8:F829))</f>
        <v/>
      </c>
      <c r="B829" s="4"/>
      <c r="C829" s="13"/>
      <c r="D829" s="14"/>
      <c r="E829" s="14"/>
      <c r="F829" s="15"/>
      <c r="G829" s="16"/>
      <c r="H829" s="16"/>
      <c r="I829" s="17" t="str">
        <f aca="false">IF(OR(G829="",H829=""),"",H829-G829)</f>
        <v/>
      </c>
      <c r="J829" s="4"/>
      <c r="K829" s="4"/>
      <c r="L829" s="18" t="str">
        <f aca="false">IF(F829="","",IF(COUNTIF('DS XE - TAI XE'!$B$6:$B$505,F829)&gt;0,"✓ Có","Chưa có trong DS xe"))</f>
        <v/>
      </c>
    </row>
    <row r="830" customFormat="false" ht="15" hidden="false" customHeight="false" outlineLevel="0" collapsed="false">
      <c r="A830" s="12" t="str">
        <f aca="false">IF(F830="","",COUNTA($F$8:F830))</f>
        <v/>
      </c>
      <c r="B830" s="4"/>
      <c r="C830" s="13"/>
      <c r="D830" s="14"/>
      <c r="E830" s="14"/>
      <c r="F830" s="15"/>
      <c r="G830" s="16"/>
      <c r="H830" s="16"/>
      <c r="I830" s="17" t="str">
        <f aca="false">IF(OR(G830="",H830=""),"",H830-G830)</f>
        <v/>
      </c>
      <c r="J830" s="4"/>
      <c r="K830" s="4"/>
      <c r="L830" s="18" t="str">
        <f aca="false">IF(F830="","",IF(COUNTIF('DS XE - TAI XE'!$B$6:$B$505,F830)&gt;0,"✓ Có","Chưa có trong DS xe"))</f>
        <v/>
      </c>
    </row>
    <row r="831" customFormat="false" ht="15" hidden="false" customHeight="false" outlineLevel="0" collapsed="false">
      <c r="A831" s="12" t="str">
        <f aca="false">IF(F831="","",COUNTA($F$8:F831))</f>
        <v/>
      </c>
      <c r="B831" s="4"/>
      <c r="C831" s="13"/>
      <c r="D831" s="14"/>
      <c r="E831" s="14"/>
      <c r="F831" s="15"/>
      <c r="G831" s="16"/>
      <c r="H831" s="16"/>
      <c r="I831" s="17" t="str">
        <f aca="false">IF(OR(G831="",H831=""),"",H831-G831)</f>
        <v/>
      </c>
      <c r="J831" s="4"/>
      <c r="K831" s="4"/>
      <c r="L831" s="18" t="str">
        <f aca="false">IF(F831="","",IF(COUNTIF('DS XE - TAI XE'!$B$6:$B$505,F831)&gt;0,"✓ Có","Chưa có trong DS xe"))</f>
        <v/>
      </c>
    </row>
    <row r="832" customFormat="false" ht="15" hidden="false" customHeight="false" outlineLevel="0" collapsed="false">
      <c r="A832" s="12" t="str">
        <f aca="false">IF(F832="","",COUNTA($F$8:F832))</f>
        <v/>
      </c>
      <c r="B832" s="4"/>
      <c r="C832" s="13"/>
      <c r="D832" s="14"/>
      <c r="E832" s="14"/>
      <c r="F832" s="15"/>
      <c r="G832" s="16"/>
      <c r="H832" s="16"/>
      <c r="I832" s="17" t="str">
        <f aca="false">IF(OR(G832="",H832=""),"",H832-G832)</f>
        <v/>
      </c>
      <c r="J832" s="4"/>
      <c r="K832" s="4"/>
      <c r="L832" s="18" t="str">
        <f aca="false">IF(F832="","",IF(COUNTIF('DS XE - TAI XE'!$B$6:$B$505,F832)&gt;0,"✓ Có","Chưa có trong DS xe"))</f>
        <v/>
      </c>
    </row>
    <row r="833" customFormat="false" ht="15" hidden="false" customHeight="false" outlineLevel="0" collapsed="false">
      <c r="A833" s="12" t="str">
        <f aca="false">IF(F833="","",COUNTA($F$8:F833))</f>
        <v/>
      </c>
      <c r="B833" s="4"/>
      <c r="C833" s="13"/>
      <c r="D833" s="14"/>
      <c r="E833" s="14"/>
      <c r="F833" s="15"/>
      <c r="G833" s="16"/>
      <c r="H833" s="16"/>
      <c r="I833" s="17" t="str">
        <f aca="false">IF(OR(G833="",H833=""),"",H833-G833)</f>
        <v/>
      </c>
      <c r="J833" s="4"/>
      <c r="K833" s="4"/>
      <c r="L833" s="18" t="str">
        <f aca="false">IF(F833="","",IF(COUNTIF('DS XE - TAI XE'!$B$6:$B$505,F833)&gt;0,"✓ Có","Chưa có trong DS xe"))</f>
        <v/>
      </c>
    </row>
    <row r="834" customFormat="false" ht="15" hidden="false" customHeight="false" outlineLevel="0" collapsed="false">
      <c r="A834" s="12" t="str">
        <f aca="false">IF(F834="","",COUNTA($F$8:F834))</f>
        <v/>
      </c>
      <c r="B834" s="4"/>
      <c r="C834" s="13"/>
      <c r="D834" s="14"/>
      <c r="E834" s="14"/>
      <c r="F834" s="15"/>
      <c r="G834" s="16"/>
      <c r="H834" s="16"/>
      <c r="I834" s="17" t="str">
        <f aca="false">IF(OR(G834="",H834=""),"",H834-G834)</f>
        <v/>
      </c>
      <c r="J834" s="4"/>
      <c r="K834" s="4"/>
      <c r="L834" s="18" t="str">
        <f aca="false">IF(F834="","",IF(COUNTIF('DS XE - TAI XE'!$B$6:$B$505,F834)&gt;0,"✓ Có","Chưa có trong DS xe"))</f>
        <v/>
      </c>
    </row>
    <row r="835" customFormat="false" ht="15" hidden="false" customHeight="false" outlineLevel="0" collapsed="false">
      <c r="A835" s="12" t="str">
        <f aca="false">IF(F835="","",COUNTA($F$8:F835))</f>
        <v/>
      </c>
      <c r="B835" s="4"/>
      <c r="C835" s="13"/>
      <c r="D835" s="14"/>
      <c r="E835" s="14"/>
      <c r="F835" s="15"/>
      <c r="G835" s="16"/>
      <c r="H835" s="16"/>
      <c r="I835" s="17" t="str">
        <f aca="false">IF(OR(G835="",H835=""),"",H835-G835)</f>
        <v/>
      </c>
      <c r="J835" s="4"/>
      <c r="K835" s="4"/>
      <c r="L835" s="18" t="str">
        <f aca="false">IF(F835="","",IF(COUNTIF('DS XE - TAI XE'!$B$6:$B$505,F835)&gt;0,"✓ Có","Chưa có trong DS xe"))</f>
        <v/>
      </c>
    </row>
    <row r="836" customFormat="false" ht="15" hidden="false" customHeight="false" outlineLevel="0" collapsed="false">
      <c r="A836" s="12" t="str">
        <f aca="false">IF(F836="","",COUNTA($F$8:F836))</f>
        <v/>
      </c>
      <c r="B836" s="4"/>
      <c r="C836" s="13"/>
      <c r="D836" s="14"/>
      <c r="E836" s="14"/>
      <c r="F836" s="15"/>
      <c r="G836" s="16"/>
      <c r="H836" s="16"/>
      <c r="I836" s="17" t="str">
        <f aca="false">IF(OR(G836="",H836=""),"",H836-G836)</f>
        <v/>
      </c>
      <c r="J836" s="4"/>
      <c r="K836" s="4"/>
      <c r="L836" s="18" t="str">
        <f aca="false">IF(F836="","",IF(COUNTIF('DS XE - TAI XE'!$B$6:$B$505,F836)&gt;0,"✓ Có","Chưa có trong DS xe"))</f>
        <v/>
      </c>
    </row>
    <row r="837" customFormat="false" ht="15" hidden="false" customHeight="false" outlineLevel="0" collapsed="false">
      <c r="A837" s="12" t="str">
        <f aca="false">IF(F837="","",COUNTA($F$8:F837))</f>
        <v/>
      </c>
      <c r="B837" s="4"/>
      <c r="C837" s="13"/>
      <c r="D837" s="14"/>
      <c r="E837" s="14"/>
      <c r="F837" s="15"/>
      <c r="G837" s="16"/>
      <c r="H837" s="16"/>
      <c r="I837" s="17" t="str">
        <f aca="false">IF(OR(G837="",H837=""),"",H837-G837)</f>
        <v/>
      </c>
      <c r="J837" s="4"/>
      <c r="K837" s="4"/>
      <c r="L837" s="18" t="str">
        <f aca="false">IF(F837="","",IF(COUNTIF('DS XE - TAI XE'!$B$6:$B$505,F837)&gt;0,"✓ Có","Chưa có trong DS xe"))</f>
        <v/>
      </c>
    </row>
    <row r="838" customFormat="false" ht="15" hidden="false" customHeight="false" outlineLevel="0" collapsed="false">
      <c r="A838" s="12" t="str">
        <f aca="false">IF(F838="","",COUNTA($F$8:F838))</f>
        <v/>
      </c>
      <c r="B838" s="4"/>
      <c r="C838" s="13"/>
      <c r="D838" s="14"/>
      <c r="E838" s="14"/>
      <c r="F838" s="15"/>
      <c r="G838" s="16"/>
      <c r="H838" s="16"/>
      <c r="I838" s="17" t="str">
        <f aca="false">IF(OR(G838="",H838=""),"",H838-G838)</f>
        <v/>
      </c>
      <c r="J838" s="4"/>
      <c r="K838" s="4"/>
      <c r="L838" s="18" t="str">
        <f aca="false">IF(F838="","",IF(COUNTIF('DS XE - TAI XE'!$B$6:$B$505,F838)&gt;0,"✓ Có","Chưa có trong DS xe"))</f>
        <v/>
      </c>
    </row>
    <row r="839" customFormat="false" ht="15" hidden="false" customHeight="false" outlineLevel="0" collapsed="false">
      <c r="A839" s="12" t="str">
        <f aca="false">IF(F839="","",COUNTA($F$8:F839))</f>
        <v/>
      </c>
      <c r="B839" s="4"/>
      <c r="C839" s="13"/>
      <c r="D839" s="14"/>
      <c r="E839" s="14"/>
      <c r="F839" s="15"/>
      <c r="G839" s="16"/>
      <c r="H839" s="16"/>
      <c r="I839" s="17" t="str">
        <f aca="false">IF(OR(G839="",H839=""),"",H839-G839)</f>
        <v/>
      </c>
      <c r="J839" s="4"/>
      <c r="K839" s="4"/>
      <c r="L839" s="18" t="str">
        <f aca="false">IF(F839="","",IF(COUNTIF('DS XE - TAI XE'!$B$6:$B$505,F839)&gt;0,"✓ Có","Chưa có trong DS xe"))</f>
        <v/>
      </c>
    </row>
    <row r="840" customFormat="false" ht="15" hidden="false" customHeight="false" outlineLevel="0" collapsed="false">
      <c r="A840" s="12" t="str">
        <f aca="false">IF(F840="","",COUNTA($F$8:F840))</f>
        <v/>
      </c>
      <c r="B840" s="4"/>
      <c r="C840" s="13"/>
      <c r="D840" s="14"/>
      <c r="E840" s="14"/>
      <c r="F840" s="15"/>
      <c r="G840" s="16"/>
      <c r="H840" s="16"/>
      <c r="I840" s="17" t="str">
        <f aca="false">IF(OR(G840="",H840=""),"",H840-G840)</f>
        <v/>
      </c>
      <c r="J840" s="4"/>
      <c r="K840" s="4"/>
      <c r="L840" s="18" t="str">
        <f aca="false">IF(F840="","",IF(COUNTIF('DS XE - TAI XE'!$B$6:$B$505,F840)&gt;0,"✓ Có","Chưa có trong DS xe"))</f>
        <v/>
      </c>
    </row>
    <row r="841" customFormat="false" ht="15" hidden="false" customHeight="false" outlineLevel="0" collapsed="false">
      <c r="A841" s="12" t="str">
        <f aca="false">IF(F841="","",COUNTA($F$8:F841))</f>
        <v/>
      </c>
      <c r="B841" s="4"/>
      <c r="C841" s="13"/>
      <c r="D841" s="14"/>
      <c r="E841" s="14"/>
      <c r="F841" s="15"/>
      <c r="G841" s="16"/>
      <c r="H841" s="16"/>
      <c r="I841" s="17" t="str">
        <f aca="false">IF(OR(G841="",H841=""),"",H841-G841)</f>
        <v/>
      </c>
      <c r="J841" s="4"/>
      <c r="K841" s="4"/>
      <c r="L841" s="18" t="str">
        <f aca="false">IF(F841="","",IF(COUNTIF('DS XE - TAI XE'!$B$6:$B$505,F841)&gt;0,"✓ Có","Chưa có trong DS xe"))</f>
        <v/>
      </c>
    </row>
    <row r="842" customFormat="false" ht="15" hidden="false" customHeight="false" outlineLevel="0" collapsed="false">
      <c r="A842" s="12" t="str">
        <f aca="false">IF(F842="","",COUNTA($F$8:F842))</f>
        <v/>
      </c>
      <c r="B842" s="4"/>
      <c r="C842" s="13"/>
      <c r="D842" s="14"/>
      <c r="E842" s="14"/>
      <c r="F842" s="15"/>
      <c r="G842" s="16"/>
      <c r="H842" s="16"/>
      <c r="I842" s="17" t="str">
        <f aca="false">IF(OR(G842="",H842=""),"",H842-G842)</f>
        <v/>
      </c>
      <c r="J842" s="4"/>
      <c r="K842" s="4"/>
      <c r="L842" s="18" t="str">
        <f aca="false">IF(F842="","",IF(COUNTIF('DS XE - TAI XE'!$B$6:$B$505,F842)&gt;0,"✓ Có","Chưa có trong DS xe"))</f>
        <v/>
      </c>
    </row>
    <row r="843" customFormat="false" ht="15" hidden="false" customHeight="false" outlineLevel="0" collapsed="false">
      <c r="A843" s="12" t="str">
        <f aca="false">IF(F843="","",COUNTA($F$8:F843))</f>
        <v/>
      </c>
      <c r="B843" s="4"/>
      <c r="C843" s="13"/>
      <c r="D843" s="14"/>
      <c r="E843" s="14"/>
      <c r="F843" s="15"/>
      <c r="G843" s="16"/>
      <c r="H843" s="16"/>
      <c r="I843" s="17" t="str">
        <f aca="false">IF(OR(G843="",H843=""),"",H843-G843)</f>
        <v/>
      </c>
      <c r="J843" s="4"/>
      <c r="K843" s="4"/>
      <c r="L843" s="18" t="str">
        <f aca="false">IF(F843="","",IF(COUNTIF('DS XE - TAI XE'!$B$6:$B$505,F843)&gt;0,"✓ Có","Chưa có trong DS xe"))</f>
        <v/>
      </c>
    </row>
    <row r="844" customFormat="false" ht="15" hidden="false" customHeight="false" outlineLevel="0" collapsed="false">
      <c r="A844" s="12" t="str">
        <f aca="false">IF(F844="","",COUNTA($F$8:F844))</f>
        <v/>
      </c>
      <c r="B844" s="4"/>
      <c r="C844" s="13"/>
      <c r="D844" s="14"/>
      <c r="E844" s="14"/>
      <c r="F844" s="15"/>
      <c r="G844" s="16"/>
      <c r="H844" s="16"/>
      <c r="I844" s="17" t="str">
        <f aca="false">IF(OR(G844="",H844=""),"",H844-G844)</f>
        <v/>
      </c>
      <c r="J844" s="4"/>
      <c r="K844" s="4"/>
      <c r="L844" s="18" t="str">
        <f aca="false">IF(F844="","",IF(COUNTIF('DS XE - TAI XE'!$B$6:$B$505,F844)&gt;0,"✓ Có","Chưa có trong DS xe"))</f>
        <v/>
      </c>
    </row>
    <row r="845" customFormat="false" ht="15" hidden="false" customHeight="false" outlineLevel="0" collapsed="false">
      <c r="A845" s="12" t="str">
        <f aca="false">IF(F845="","",COUNTA($F$8:F845))</f>
        <v/>
      </c>
      <c r="B845" s="4"/>
      <c r="C845" s="13"/>
      <c r="D845" s="14"/>
      <c r="E845" s="14"/>
      <c r="F845" s="15"/>
      <c r="G845" s="16"/>
      <c r="H845" s="16"/>
      <c r="I845" s="17" t="str">
        <f aca="false">IF(OR(G845="",H845=""),"",H845-G845)</f>
        <v/>
      </c>
      <c r="J845" s="4"/>
      <c r="K845" s="4"/>
      <c r="L845" s="18" t="str">
        <f aca="false">IF(F845="","",IF(COUNTIF('DS XE - TAI XE'!$B$6:$B$505,F845)&gt;0,"✓ Có","Chưa có trong DS xe"))</f>
        <v/>
      </c>
    </row>
    <row r="846" customFormat="false" ht="15" hidden="false" customHeight="false" outlineLevel="0" collapsed="false">
      <c r="A846" s="12" t="str">
        <f aca="false">IF(F846="","",COUNTA($F$8:F846))</f>
        <v/>
      </c>
      <c r="B846" s="4"/>
      <c r="C846" s="13"/>
      <c r="D846" s="14"/>
      <c r="E846" s="14"/>
      <c r="F846" s="15"/>
      <c r="G846" s="16"/>
      <c r="H846" s="16"/>
      <c r="I846" s="17" t="str">
        <f aca="false">IF(OR(G846="",H846=""),"",H846-G846)</f>
        <v/>
      </c>
      <c r="J846" s="4"/>
      <c r="K846" s="4"/>
      <c r="L846" s="18" t="str">
        <f aca="false">IF(F846="","",IF(COUNTIF('DS XE - TAI XE'!$B$6:$B$505,F846)&gt;0,"✓ Có","Chưa có trong DS xe"))</f>
        <v/>
      </c>
    </row>
    <row r="847" customFormat="false" ht="15" hidden="false" customHeight="false" outlineLevel="0" collapsed="false">
      <c r="A847" s="12" t="str">
        <f aca="false">IF(F847="","",COUNTA($F$8:F847))</f>
        <v/>
      </c>
      <c r="B847" s="4"/>
      <c r="C847" s="13"/>
      <c r="D847" s="14"/>
      <c r="E847" s="14"/>
      <c r="F847" s="15"/>
      <c r="G847" s="16"/>
      <c r="H847" s="16"/>
      <c r="I847" s="17" t="str">
        <f aca="false">IF(OR(G847="",H847=""),"",H847-G847)</f>
        <v/>
      </c>
      <c r="J847" s="4"/>
      <c r="K847" s="4"/>
      <c r="L847" s="18" t="str">
        <f aca="false">IF(F847="","",IF(COUNTIF('DS XE - TAI XE'!$B$6:$B$505,F847)&gt;0,"✓ Có","Chưa có trong DS xe"))</f>
        <v/>
      </c>
    </row>
    <row r="848" customFormat="false" ht="15" hidden="false" customHeight="false" outlineLevel="0" collapsed="false">
      <c r="A848" s="12" t="str">
        <f aca="false">IF(F848="","",COUNTA($F$8:F848))</f>
        <v/>
      </c>
      <c r="B848" s="4"/>
      <c r="C848" s="13"/>
      <c r="D848" s="14"/>
      <c r="E848" s="14"/>
      <c r="F848" s="15"/>
      <c r="G848" s="16"/>
      <c r="H848" s="16"/>
      <c r="I848" s="17" t="str">
        <f aca="false">IF(OR(G848="",H848=""),"",H848-G848)</f>
        <v/>
      </c>
      <c r="J848" s="4"/>
      <c r="K848" s="4"/>
      <c r="L848" s="18" t="str">
        <f aca="false">IF(F848="","",IF(COUNTIF('DS XE - TAI XE'!$B$6:$B$505,F848)&gt;0,"✓ Có","Chưa có trong DS xe"))</f>
        <v/>
      </c>
    </row>
    <row r="849" customFormat="false" ht="15" hidden="false" customHeight="false" outlineLevel="0" collapsed="false">
      <c r="A849" s="12" t="str">
        <f aca="false">IF(F849="","",COUNTA($F$8:F849))</f>
        <v/>
      </c>
      <c r="B849" s="4"/>
      <c r="C849" s="13"/>
      <c r="D849" s="14"/>
      <c r="E849" s="14"/>
      <c r="F849" s="15"/>
      <c r="G849" s="16"/>
      <c r="H849" s="16"/>
      <c r="I849" s="17" t="str">
        <f aca="false">IF(OR(G849="",H849=""),"",H849-G849)</f>
        <v/>
      </c>
      <c r="J849" s="4"/>
      <c r="K849" s="4"/>
      <c r="L849" s="18" t="str">
        <f aca="false">IF(F849="","",IF(COUNTIF('DS XE - TAI XE'!$B$6:$B$505,F849)&gt;0,"✓ Có","Chưa có trong DS xe"))</f>
        <v/>
      </c>
    </row>
    <row r="850" customFormat="false" ht="15" hidden="false" customHeight="false" outlineLevel="0" collapsed="false">
      <c r="A850" s="12" t="str">
        <f aca="false">IF(F850="","",COUNTA($F$8:F850))</f>
        <v/>
      </c>
      <c r="B850" s="4"/>
      <c r="C850" s="13"/>
      <c r="D850" s="14"/>
      <c r="E850" s="14"/>
      <c r="F850" s="15"/>
      <c r="G850" s="16"/>
      <c r="H850" s="16"/>
      <c r="I850" s="17" t="str">
        <f aca="false">IF(OR(G850="",H850=""),"",H850-G850)</f>
        <v/>
      </c>
      <c r="J850" s="4"/>
      <c r="K850" s="4"/>
      <c r="L850" s="18" t="str">
        <f aca="false">IF(F850="","",IF(COUNTIF('DS XE - TAI XE'!$B$6:$B$505,F850)&gt;0,"✓ Có","Chưa có trong DS xe"))</f>
        <v/>
      </c>
    </row>
    <row r="851" customFormat="false" ht="15" hidden="false" customHeight="false" outlineLevel="0" collapsed="false">
      <c r="A851" s="12" t="str">
        <f aca="false">IF(F851="","",COUNTA($F$8:F851))</f>
        <v/>
      </c>
      <c r="B851" s="4"/>
      <c r="C851" s="13"/>
      <c r="D851" s="14"/>
      <c r="E851" s="14"/>
      <c r="F851" s="15"/>
      <c r="G851" s="16"/>
      <c r="H851" s="16"/>
      <c r="I851" s="17" t="str">
        <f aca="false">IF(OR(G851="",H851=""),"",H851-G851)</f>
        <v/>
      </c>
      <c r="J851" s="4"/>
      <c r="K851" s="4"/>
      <c r="L851" s="18" t="str">
        <f aca="false">IF(F851="","",IF(COUNTIF('DS XE - TAI XE'!$B$6:$B$505,F851)&gt;0,"✓ Có","Chưa có trong DS xe"))</f>
        <v/>
      </c>
    </row>
    <row r="852" customFormat="false" ht="15" hidden="false" customHeight="false" outlineLevel="0" collapsed="false">
      <c r="A852" s="12" t="str">
        <f aca="false">IF(F852="","",COUNTA($F$8:F852))</f>
        <v/>
      </c>
      <c r="B852" s="4"/>
      <c r="C852" s="13"/>
      <c r="D852" s="14"/>
      <c r="E852" s="14"/>
      <c r="F852" s="15"/>
      <c r="G852" s="16"/>
      <c r="H852" s="16"/>
      <c r="I852" s="17" t="str">
        <f aca="false">IF(OR(G852="",H852=""),"",H852-G852)</f>
        <v/>
      </c>
      <c r="J852" s="4"/>
      <c r="K852" s="4"/>
      <c r="L852" s="18" t="str">
        <f aca="false">IF(F852="","",IF(COUNTIF('DS XE - TAI XE'!$B$6:$B$505,F852)&gt;0,"✓ Có","Chưa có trong DS xe"))</f>
        <v/>
      </c>
    </row>
    <row r="853" customFormat="false" ht="15" hidden="false" customHeight="false" outlineLevel="0" collapsed="false">
      <c r="A853" s="12" t="str">
        <f aca="false">IF(F853="","",COUNTA($F$8:F853))</f>
        <v/>
      </c>
      <c r="B853" s="4"/>
      <c r="C853" s="13"/>
      <c r="D853" s="14"/>
      <c r="E853" s="14"/>
      <c r="F853" s="15"/>
      <c r="G853" s="16"/>
      <c r="H853" s="16"/>
      <c r="I853" s="17" t="str">
        <f aca="false">IF(OR(G853="",H853=""),"",H853-G853)</f>
        <v/>
      </c>
      <c r="J853" s="4"/>
      <c r="K853" s="4"/>
      <c r="L853" s="18" t="str">
        <f aca="false">IF(F853="","",IF(COUNTIF('DS XE - TAI XE'!$B$6:$B$505,F853)&gt;0,"✓ Có","Chưa có trong DS xe"))</f>
        <v/>
      </c>
    </row>
    <row r="854" customFormat="false" ht="15" hidden="false" customHeight="false" outlineLevel="0" collapsed="false">
      <c r="A854" s="12" t="str">
        <f aca="false">IF(F854="","",COUNTA($F$8:F854))</f>
        <v/>
      </c>
      <c r="B854" s="4"/>
      <c r="C854" s="13"/>
      <c r="D854" s="14"/>
      <c r="E854" s="14"/>
      <c r="F854" s="15"/>
      <c r="G854" s="16"/>
      <c r="H854" s="16"/>
      <c r="I854" s="17" t="str">
        <f aca="false">IF(OR(G854="",H854=""),"",H854-G854)</f>
        <v/>
      </c>
      <c r="J854" s="4"/>
      <c r="K854" s="4"/>
      <c r="L854" s="18" t="str">
        <f aca="false">IF(F854="","",IF(COUNTIF('DS XE - TAI XE'!$B$6:$B$505,F854)&gt;0,"✓ Có","Chưa có trong DS xe"))</f>
        <v/>
      </c>
    </row>
    <row r="855" customFormat="false" ht="15" hidden="false" customHeight="false" outlineLevel="0" collapsed="false">
      <c r="A855" s="12" t="str">
        <f aca="false">IF(F855="","",COUNTA($F$8:F855))</f>
        <v/>
      </c>
      <c r="B855" s="4"/>
      <c r="C855" s="13"/>
      <c r="D855" s="14"/>
      <c r="E855" s="14"/>
      <c r="F855" s="15"/>
      <c r="G855" s="16"/>
      <c r="H855" s="16"/>
      <c r="I855" s="17" t="str">
        <f aca="false">IF(OR(G855="",H855=""),"",H855-G855)</f>
        <v/>
      </c>
      <c r="J855" s="4"/>
      <c r="K855" s="4"/>
      <c r="L855" s="18" t="str">
        <f aca="false">IF(F855="","",IF(COUNTIF('DS XE - TAI XE'!$B$6:$B$505,F855)&gt;0,"✓ Có","Chưa có trong DS xe"))</f>
        <v/>
      </c>
    </row>
    <row r="856" customFormat="false" ht="15" hidden="false" customHeight="false" outlineLevel="0" collapsed="false">
      <c r="A856" s="12" t="str">
        <f aca="false">IF(F856="","",COUNTA($F$8:F856))</f>
        <v/>
      </c>
      <c r="B856" s="4"/>
      <c r="C856" s="13"/>
      <c r="D856" s="14"/>
      <c r="E856" s="14"/>
      <c r="F856" s="15"/>
      <c r="G856" s="16"/>
      <c r="H856" s="16"/>
      <c r="I856" s="17" t="str">
        <f aca="false">IF(OR(G856="",H856=""),"",H856-G856)</f>
        <v/>
      </c>
      <c r="J856" s="4"/>
      <c r="K856" s="4"/>
      <c r="L856" s="18" t="str">
        <f aca="false">IF(F856="","",IF(COUNTIF('DS XE - TAI XE'!$B$6:$B$505,F856)&gt;0,"✓ Có","Chưa có trong DS xe"))</f>
        <v/>
      </c>
    </row>
    <row r="857" customFormat="false" ht="15" hidden="false" customHeight="false" outlineLevel="0" collapsed="false">
      <c r="A857" s="12" t="str">
        <f aca="false">IF(F857="","",COUNTA($F$8:F857))</f>
        <v/>
      </c>
      <c r="B857" s="4"/>
      <c r="C857" s="13"/>
      <c r="D857" s="14"/>
      <c r="E857" s="14"/>
      <c r="F857" s="15"/>
      <c r="G857" s="16"/>
      <c r="H857" s="16"/>
      <c r="I857" s="17" t="str">
        <f aca="false">IF(OR(G857="",H857=""),"",H857-G857)</f>
        <v/>
      </c>
      <c r="J857" s="4"/>
      <c r="K857" s="4"/>
      <c r="L857" s="18" t="str">
        <f aca="false">IF(F857="","",IF(COUNTIF('DS XE - TAI XE'!$B$6:$B$505,F857)&gt;0,"✓ Có","Chưa có trong DS xe"))</f>
        <v/>
      </c>
    </row>
    <row r="858" customFormat="false" ht="15" hidden="false" customHeight="false" outlineLevel="0" collapsed="false">
      <c r="A858" s="12" t="str">
        <f aca="false">IF(F858="","",COUNTA($F$8:F858))</f>
        <v/>
      </c>
      <c r="B858" s="4"/>
      <c r="C858" s="13"/>
      <c r="D858" s="14"/>
      <c r="E858" s="14"/>
      <c r="F858" s="15"/>
      <c r="G858" s="16"/>
      <c r="H858" s="16"/>
      <c r="I858" s="17" t="str">
        <f aca="false">IF(OR(G858="",H858=""),"",H858-G858)</f>
        <v/>
      </c>
      <c r="J858" s="4"/>
      <c r="K858" s="4"/>
      <c r="L858" s="18" t="str">
        <f aca="false">IF(F858="","",IF(COUNTIF('DS XE - TAI XE'!$B$6:$B$505,F858)&gt;0,"✓ Có","Chưa có trong DS xe"))</f>
        <v/>
      </c>
    </row>
    <row r="859" customFormat="false" ht="15" hidden="false" customHeight="false" outlineLevel="0" collapsed="false">
      <c r="A859" s="12" t="str">
        <f aca="false">IF(F859="","",COUNTA($F$8:F859))</f>
        <v/>
      </c>
      <c r="B859" s="4"/>
      <c r="C859" s="13"/>
      <c r="D859" s="14"/>
      <c r="E859" s="14"/>
      <c r="F859" s="15"/>
      <c r="G859" s="16"/>
      <c r="H859" s="16"/>
      <c r="I859" s="17" t="str">
        <f aca="false">IF(OR(G859="",H859=""),"",H859-G859)</f>
        <v/>
      </c>
      <c r="J859" s="4"/>
      <c r="K859" s="4"/>
      <c r="L859" s="18" t="str">
        <f aca="false">IF(F859="","",IF(COUNTIF('DS XE - TAI XE'!$B$6:$B$505,F859)&gt;0,"✓ Có","Chưa có trong DS xe"))</f>
        <v/>
      </c>
    </row>
    <row r="860" customFormat="false" ht="15" hidden="false" customHeight="false" outlineLevel="0" collapsed="false">
      <c r="A860" s="12" t="str">
        <f aca="false">IF(F860="","",COUNTA($F$8:F860))</f>
        <v/>
      </c>
      <c r="B860" s="4"/>
      <c r="C860" s="13"/>
      <c r="D860" s="14"/>
      <c r="E860" s="14"/>
      <c r="F860" s="15"/>
      <c r="G860" s="16"/>
      <c r="H860" s="16"/>
      <c r="I860" s="17" t="str">
        <f aca="false">IF(OR(G860="",H860=""),"",H860-G860)</f>
        <v/>
      </c>
      <c r="J860" s="4"/>
      <c r="K860" s="4"/>
      <c r="L860" s="18" t="str">
        <f aca="false">IF(F860="","",IF(COUNTIF('DS XE - TAI XE'!$B$6:$B$505,F860)&gt;0,"✓ Có","Chưa có trong DS xe"))</f>
        <v/>
      </c>
    </row>
    <row r="861" customFormat="false" ht="15" hidden="false" customHeight="false" outlineLevel="0" collapsed="false">
      <c r="A861" s="12" t="str">
        <f aca="false">IF(F861="","",COUNTA($F$8:F861))</f>
        <v/>
      </c>
      <c r="B861" s="4"/>
      <c r="C861" s="13"/>
      <c r="D861" s="14"/>
      <c r="E861" s="14"/>
      <c r="F861" s="15"/>
      <c r="G861" s="16"/>
      <c r="H861" s="16"/>
      <c r="I861" s="17" t="str">
        <f aca="false">IF(OR(G861="",H861=""),"",H861-G861)</f>
        <v/>
      </c>
      <c r="J861" s="4"/>
      <c r="K861" s="4"/>
      <c r="L861" s="18" t="str">
        <f aca="false">IF(F861="","",IF(COUNTIF('DS XE - TAI XE'!$B$6:$B$505,F861)&gt;0,"✓ Có","Chưa có trong DS xe"))</f>
        <v/>
      </c>
    </row>
    <row r="862" customFormat="false" ht="15" hidden="false" customHeight="false" outlineLevel="0" collapsed="false">
      <c r="A862" s="12" t="str">
        <f aca="false">IF(F862="","",COUNTA($F$8:F862))</f>
        <v/>
      </c>
      <c r="B862" s="4"/>
      <c r="C862" s="13"/>
      <c r="D862" s="14"/>
      <c r="E862" s="14"/>
      <c r="F862" s="15"/>
      <c r="G862" s="16"/>
      <c r="H862" s="16"/>
      <c r="I862" s="17" t="str">
        <f aca="false">IF(OR(G862="",H862=""),"",H862-G862)</f>
        <v/>
      </c>
      <c r="J862" s="4"/>
      <c r="K862" s="4"/>
      <c r="L862" s="18" t="str">
        <f aca="false">IF(F862="","",IF(COUNTIF('DS XE - TAI XE'!$B$6:$B$505,F862)&gt;0,"✓ Có","Chưa có trong DS xe"))</f>
        <v/>
      </c>
    </row>
    <row r="863" customFormat="false" ht="15" hidden="false" customHeight="false" outlineLevel="0" collapsed="false">
      <c r="A863" s="12" t="str">
        <f aca="false">IF(F863="","",COUNTA($F$8:F863))</f>
        <v/>
      </c>
      <c r="B863" s="4"/>
      <c r="C863" s="13"/>
      <c r="D863" s="14"/>
      <c r="E863" s="14"/>
      <c r="F863" s="15"/>
      <c r="G863" s="16"/>
      <c r="H863" s="16"/>
      <c r="I863" s="17" t="str">
        <f aca="false">IF(OR(G863="",H863=""),"",H863-G863)</f>
        <v/>
      </c>
      <c r="J863" s="4"/>
      <c r="K863" s="4"/>
      <c r="L863" s="18" t="str">
        <f aca="false">IF(F863="","",IF(COUNTIF('DS XE - TAI XE'!$B$6:$B$505,F863)&gt;0,"✓ Có","Chưa có trong DS xe"))</f>
        <v/>
      </c>
    </row>
    <row r="864" customFormat="false" ht="15" hidden="false" customHeight="false" outlineLevel="0" collapsed="false">
      <c r="A864" s="12" t="str">
        <f aca="false">IF(F864="","",COUNTA($F$8:F864))</f>
        <v/>
      </c>
      <c r="B864" s="4"/>
      <c r="C864" s="13"/>
      <c r="D864" s="14"/>
      <c r="E864" s="14"/>
      <c r="F864" s="15"/>
      <c r="G864" s="16"/>
      <c r="H864" s="16"/>
      <c r="I864" s="17" t="str">
        <f aca="false">IF(OR(G864="",H864=""),"",H864-G864)</f>
        <v/>
      </c>
      <c r="J864" s="4"/>
      <c r="K864" s="4"/>
      <c r="L864" s="18" t="str">
        <f aca="false">IF(F864="","",IF(COUNTIF('DS XE - TAI XE'!$B$6:$B$505,F864)&gt;0,"✓ Có","Chưa có trong DS xe"))</f>
        <v/>
      </c>
    </row>
    <row r="865" customFormat="false" ht="15" hidden="false" customHeight="false" outlineLevel="0" collapsed="false">
      <c r="A865" s="12" t="str">
        <f aca="false">IF(F865="","",COUNTA($F$8:F865))</f>
        <v/>
      </c>
      <c r="B865" s="4"/>
      <c r="C865" s="13"/>
      <c r="D865" s="14"/>
      <c r="E865" s="14"/>
      <c r="F865" s="15"/>
      <c r="G865" s="16"/>
      <c r="H865" s="16"/>
      <c r="I865" s="17" t="str">
        <f aca="false">IF(OR(G865="",H865=""),"",H865-G865)</f>
        <v/>
      </c>
      <c r="J865" s="4"/>
      <c r="K865" s="4"/>
      <c r="L865" s="18" t="str">
        <f aca="false">IF(F865="","",IF(COUNTIF('DS XE - TAI XE'!$B$6:$B$505,F865)&gt;0,"✓ Có","Chưa có trong DS xe"))</f>
        <v/>
      </c>
    </row>
    <row r="866" customFormat="false" ht="15" hidden="false" customHeight="false" outlineLevel="0" collapsed="false">
      <c r="A866" s="12" t="str">
        <f aca="false">IF(F866="","",COUNTA($F$8:F866))</f>
        <v/>
      </c>
      <c r="B866" s="4"/>
      <c r="C866" s="13"/>
      <c r="D866" s="14"/>
      <c r="E866" s="14"/>
      <c r="F866" s="15"/>
      <c r="G866" s="16"/>
      <c r="H866" s="16"/>
      <c r="I866" s="17" t="str">
        <f aca="false">IF(OR(G866="",H866=""),"",H866-G866)</f>
        <v/>
      </c>
      <c r="J866" s="4"/>
      <c r="K866" s="4"/>
      <c r="L866" s="18" t="str">
        <f aca="false">IF(F866="","",IF(COUNTIF('DS XE - TAI XE'!$B$6:$B$505,F866)&gt;0,"✓ Có","Chưa có trong DS xe"))</f>
        <v/>
      </c>
    </row>
    <row r="867" customFormat="false" ht="15" hidden="false" customHeight="false" outlineLevel="0" collapsed="false">
      <c r="A867" s="12" t="str">
        <f aca="false">IF(F867="","",COUNTA($F$8:F867))</f>
        <v/>
      </c>
      <c r="B867" s="4"/>
      <c r="C867" s="13"/>
      <c r="D867" s="14"/>
      <c r="E867" s="14"/>
      <c r="F867" s="15"/>
      <c r="G867" s="16"/>
      <c r="H867" s="16"/>
      <c r="I867" s="17" t="str">
        <f aca="false">IF(OR(G867="",H867=""),"",H867-G867)</f>
        <v/>
      </c>
      <c r="J867" s="4"/>
      <c r="K867" s="4"/>
      <c r="L867" s="18" t="str">
        <f aca="false">IF(F867="","",IF(COUNTIF('DS XE - TAI XE'!$B$6:$B$505,F867)&gt;0,"✓ Có","Chưa có trong DS xe"))</f>
        <v/>
      </c>
    </row>
    <row r="868" customFormat="false" ht="15" hidden="false" customHeight="false" outlineLevel="0" collapsed="false">
      <c r="A868" s="12" t="str">
        <f aca="false">IF(F868="","",COUNTA($F$8:F868))</f>
        <v/>
      </c>
      <c r="B868" s="4"/>
      <c r="C868" s="13"/>
      <c r="D868" s="14"/>
      <c r="E868" s="14"/>
      <c r="F868" s="15"/>
      <c r="G868" s="16"/>
      <c r="H868" s="16"/>
      <c r="I868" s="17" t="str">
        <f aca="false">IF(OR(G868="",H868=""),"",H868-G868)</f>
        <v/>
      </c>
      <c r="J868" s="4"/>
      <c r="K868" s="4"/>
      <c r="L868" s="18" t="str">
        <f aca="false">IF(F868="","",IF(COUNTIF('DS XE - TAI XE'!$B$6:$B$505,F868)&gt;0,"✓ Có","Chưa có trong DS xe"))</f>
        <v/>
      </c>
    </row>
    <row r="869" customFormat="false" ht="15" hidden="false" customHeight="false" outlineLevel="0" collapsed="false">
      <c r="A869" s="12" t="str">
        <f aca="false">IF(F869="","",COUNTA($F$8:F869))</f>
        <v/>
      </c>
      <c r="B869" s="4"/>
      <c r="C869" s="13"/>
      <c r="D869" s="14"/>
      <c r="E869" s="14"/>
      <c r="F869" s="15"/>
      <c r="G869" s="16"/>
      <c r="H869" s="16"/>
      <c r="I869" s="17" t="str">
        <f aca="false">IF(OR(G869="",H869=""),"",H869-G869)</f>
        <v/>
      </c>
      <c r="J869" s="4"/>
      <c r="K869" s="4"/>
      <c r="L869" s="18" t="str">
        <f aca="false">IF(F869="","",IF(COUNTIF('DS XE - TAI XE'!$B$6:$B$505,F869)&gt;0,"✓ Có","Chưa có trong DS xe"))</f>
        <v/>
      </c>
    </row>
    <row r="870" customFormat="false" ht="15" hidden="false" customHeight="false" outlineLevel="0" collapsed="false">
      <c r="A870" s="12" t="str">
        <f aca="false">IF(F870="","",COUNTA($F$8:F870))</f>
        <v/>
      </c>
      <c r="B870" s="4"/>
      <c r="C870" s="13"/>
      <c r="D870" s="14"/>
      <c r="E870" s="14"/>
      <c r="F870" s="15"/>
      <c r="G870" s="16"/>
      <c r="H870" s="16"/>
      <c r="I870" s="17" t="str">
        <f aca="false">IF(OR(G870="",H870=""),"",H870-G870)</f>
        <v/>
      </c>
      <c r="J870" s="4"/>
      <c r="K870" s="4"/>
      <c r="L870" s="18" t="str">
        <f aca="false">IF(F870="","",IF(COUNTIF('DS XE - TAI XE'!$B$6:$B$505,F870)&gt;0,"✓ Có","Chưa có trong DS xe"))</f>
        <v/>
      </c>
    </row>
    <row r="871" customFormat="false" ht="15" hidden="false" customHeight="false" outlineLevel="0" collapsed="false">
      <c r="A871" s="12" t="str">
        <f aca="false">IF(F871="","",COUNTA($F$8:F871))</f>
        <v/>
      </c>
      <c r="B871" s="4"/>
      <c r="C871" s="13"/>
      <c r="D871" s="14"/>
      <c r="E871" s="14"/>
      <c r="F871" s="15"/>
      <c r="G871" s="16"/>
      <c r="H871" s="16"/>
      <c r="I871" s="17" t="str">
        <f aca="false">IF(OR(G871="",H871=""),"",H871-G871)</f>
        <v/>
      </c>
      <c r="J871" s="4"/>
      <c r="K871" s="4"/>
      <c r="L871" s="18" t="str">
        <f aca="false">IF(F871="","",IF(COUNTIF('DS XE - TAI XE'!$B$6:$B$505,F871)&gt;0,"✓ Có","Chưa có trong DS xe"))</f>
        <v/>
      </c>
    </row>
    <row r="872" customFormat="false" ht="15" hidden="false" customHeight="false" outlineLevel="0" collapsed="false">
      <c r="A872" s="12" t="str">
        <f aca="false">IF(F872="","",COUNTA($F$8:F872))</f>
        <v/>
      </c>
      <c r="B872" s="4"/>
      <c r="C872" s="13"/>
      <c r="D872" s="14"/>
      <c r="E872" s="14"/>
      <c r="F872" s="15"/>
      <c r="G872" s="16"/>
      <c r="H872" s="16"/>
      <c r="I872" s="17" t="str">
        <f aca="false">IF(OR(G872="",H872=""),"",H872-G872)</f>
        <v/>
      </c>
      <c r="J872" s="4"/>
      <c r="K872" s="4"/>
      <c r="L872" s="18" t="str">
        <f aca="false">IF(F872="","",IF(COUNTIF('DS XE - TAI XE'!$B$6:$B$505,F872)&gt;0,"✓ Có","Chưa có trong DS xe"))</f>
        <v/>
      </c>
    </row>
    <row r="873" customFormat="false" ht="15" hidden="false" customHeight="false" outlineLevel="0" collapsed="false">
      <c r="A873" s="12" t="str">
        <f aca="false">IF(F873="","",COUNTA($F$8:F873))</f>
        <v/>
      </c>
      <c r="B873" s="4"/>
      <c r="C873" s="13"/>
      <c r="D873" s="14"/>
      <c r="E873" s="14"/>
      <c r="F873" s="15"/>
      <c r="G873" s="16"/>
      <c r="H873" s="16"/>
      <c r="I873" s="17" t="str">
        <f aca="false">IF(OR(G873="",H873=""),"",H873-G873)</f>
        <v/>
      </c>
      <c r="J873" s="4"/>
      <c r="K873" s="4"/>
      <c r="L873" s="18" t="str">
        <f aca="false">IF(F873="","",IF(COUNTIF('DS XE - TAI XE'!$B$6:$B$505,F873)&gt;0,"✓ Có","Chưa có trong DS xe"))</f>
        <v/>
      </c>
    </row>
    <row r="874" customFormat="false" ht="15" hidden="false" customHeight="false" outlineLevel="0" collapsed="false">
      <c r="A874" s="12" t="str">
        <f aca="false">IF(F874="","",COUNTA($F$8:F874))</f>
        <v/>
      </c>
      <c r="B874" s="4"/>
      <c r="C874" s="13"/>
      <c r="D874" s="14"/>
      <c r="E874" s="14"/>
      <c r="F874" s="15"/>
      <c r="G874" s="16"/>
      <c r="H874" s="16"/>
      <c r="I874" s="17" t="str">
        <f aca="false">IF(OR(G874="",H874=""),"",H874-G874)</f>
        <v/>
      </c>
      <c r="J874" s="4"/>
      <c r="K874" s="4"/>
      <c r="L874" s="18" t="str">
        <f aca="false">IF(F874="","",IF(COUNTIF('DS XE - TAI XE'!$B$6:$B$505,F874)&gt;0,"✓ Có","Chưa có trong DS xe"))</f>
        <v/>
      </c>
    </row>
    <row r="875" customFormat="false" ht="15" hidden="false" customHeight="false" outlineLevel="0" collapsed="false">
      <c r="A875" s="12" t="str">
        <f aca="false">IF(F875="","",COUNTA($F$8:F875))</f>
        <v/>
      </c>
      <c r="B875" s="4"/>
      <c r="C875" s="13"/>
      <c r="D875" s="14"/>
      <c r="E875" s="14"/>
      <c r="F875" s="15"/>
      <c r="G875" s="16"/>
      <c r="H875" s="16"/>
      <c r="I875" s="17" t="str">
        <f aca="false">IF(OR(G875="",H875=""),"",H875-G875)</f>
        <v/>
      </c>
      <c r="J875" s="4"/>
      <c r="K875" s="4"/>
      <c r="L875" s="18" t="str">
        <f aca="false">IF(F875="","",IF(COUNTIF('DS XE - TAI XE'!$B$6:$B$505,F875)&gt;0,"✓ Có","Chưa có trong DS xe"))</f>
        <v/>
      </c>
    </row>
    <row r="876" customFormat="false" ht="15" hidden="false" customHeight="false" outlineLevel="0" collapsed="false">
      <c r="A876" s="12" t="str">
        <f aca="false">IF(F876="","",COUNTA($F$8:F876))</f>
        <v/>
      </c>
      <c r="B876" s="4"/>
      <c r="C876" s="13"/>
      <c r="D876" s="14"/>
      <c r="E876" s="14"/>
      <c r="F876" s="15"/>
      <c r="G876" s="16"/>
      <c r="H876" s="16"/>
      <c r="I876" s="17" t="str">
        <f aca="false">IF(OR(G876="",H876=""),"",H876-G876)</f>
        <v/>
      </c>
      <c r="J876" s="4"/>
      <c r="K876" s="4"/>
      <c r="L876" s="18" t="str">
        <f aca="false">IF(F876="","",IF(COUNTIF('DS XE - TAI XE'!$B$6:$B$505,F876)&gt;0,"✓ Có","Chưa có trong DS xe"))</f>
        <v/>
      </c>
    </row>
    <row r="877" customFormat="false" ht="15" hidden="false" customHeight="false" outlineLevel="0" collapsed="false">
      <c r="A877" s="12" t="str">
        <f aca="false">IF(F877="","",COUNTA($F$8:F877))</f>
        <v/>
      </c>
      <c r="B877" s="4"/>
      <c r="C877" s="13"/>
      <c r="D877" s="14"/>
      <c r="E877" s="14"/>
      <c r="F877" s="15"/>
      <c r="G877" s="16"/>
      <c r="H877" s="16"/>
      <c r="I877" s="17" t="str">
        <f aca="false">IF(OR(G877="",H877=""),"",H877-G877)</f>
        <v/>
      </c>
      <c r="J877" s="4"/>
      <c r="K877" s="4"/>
      <c r="L877" s="18" t="str">
        <f aca="false">IF(F877="","",IF(COUNTIF('DS XE - TAI XE'!$B$6:$B$505,F877)&gt;0,"✓ Có","Chưa có trong DS xe"))</f>
        <v/>
      </c>
    </row>
    <row r="878" customFormat="false" ht="15" hidden="false" customHeight="false" outlineLevel="0" collapsed="false">
      <c r="A878" s="12" t="str">
        <f aca="false">IF(F878="","",COUNTA($F$8:F878))</f>
        <v/>
      </c>
      <c r="B878" s="4"/>
      <c r="C878" s="13"/>
      <c r="D878" s="14"/>
      <c r="E878" s="14"/>
      <c r="F878" s="15"/>
      <c r="G878" s="16"/>
      <c r="H878" s="16"/>
      <c r="I878" s="17" t="str">
        <f aca="false">IF(OR(G878="",H878=""),"",H878-G878)</f>
        <v/>
      </c>
      <c r="J878" s="4"/>
      <c r="K878" s="4"/>
      <c r="L878" s="18" t="str">
        <f aca="false">IF(F878="","",IF(COUNTIF('DS XE - TAI XE'!$B$6:$B$505,F878)&gt;0,"✓ Có","Chưa có trong DS xe"))</f>
        <v/>
      </c>
    </row>
    <row r="879" customFormat="false" ht="15" hidden="false" customHeight="false" outlineLevel="0" collapsed="false">
      <c r="A879" s="12" t="str">
        <f aca="false">IF(F879="","",COUNTA($F$8:F879))</f>
        <v/>
      </c>
      <c r="B879" s="4"/>
      <c r="C879" s="13"/>
      <c r="D879" s="14"/>
      <c r="E879" s="14"/>
      <c r="F879" s="15"/>
      <c r="G879" s="16"/>
      <c r="H879" s="16"/>
      <c r="I879" s="17" t="str">
        <f aca="false">IF(OR(G879="",H879=""),"",H879-G879)</f>
        <v/>
      </c>
      <c r="J879" s="4"/>
      <c r="K879" s="4"/>
      <c r="L879" s="18" t="str">
        <f aca="false">IF(F879="","",IF(COUNTIF('DS XE - TAI XE'!$B$6:$B$505,F879)&gt;0,"✓ Có","Chưa có trong DS xe"))</f>
        <v/>
      </c>
    </row>
    <row r="880" customFormat="false" ht="15" hidden="false" customHeight="false" outlineLevel="0" collapsed="false">
      <c r="A880" s="12" t="str">
        <f aca="false">IF(F880="","",COUNTA($F$8:F880))</f>
        <v/>
      </c>
      <c r="B880" s="4"/>
      <c r="C880" s="13"/>
      <c r="D880" s="14"/>
      <c r="E880" s="14"/>
      <c r="F880" s="15"/>
      <c r="G880" s="16"/>
      <c r="H880" s="16"/>
      <c r="I880" s="17" t="str">
        <f aca="false">IF(OR(G880="",H880=""),"",H880-G880)</f>
        <v/>
      </c>
      <c r="J880" s="4"/>
      <c r="K880" s="4"/>
      <c r="L880" s="18" t="str">
        <f aca="false">IF(F880="","",IF(COUNTIF('DS XE - TAI XE'!$B$6:$B$505,F880)&gt;0,"✓ Có","Chưa có trong DS xe"))</f>
        <v/>
      </c>
    </row>
    <row r="881" customFormat="false" ht="15" hidden="false" customHeight="false" outlineLevel="0" collapsed="false">
      <c r="A881" s="12" t="str">
        <f aca="false">IF(F881="","",COUNTA($F$8:F881))</f>
        <v/>
      </c>
      <c r="B881" s="4"/>
      <c r="C881" s="13"/>
      <c r="D881" s="14"/>
      <c r="E881" s="14"/>
      <c r="F881" s="15"/>
      <c r="G881" s="16"/>
      <c r="H881" s="16"/>
      <c r="I881" s="17" t="str">
        <f aca="false">IF(OR(G881="",H881=""),"",H881-G881)</f>
        <v/>
      </c>
      <c r="J881" s="4"/>
      <c r="K881" s="4"/>
      <c r="L881" s="18" t="str">
        <f aca="false">IF(F881="","",IF(COUNTIF('DS XE - TAI XE'!$B$6:$B$505,F881)&gt;0,"✓ Có","Chưa có trong DS xe"))</f>
        <v/>
      </c>
    </row>
    <row r="882" customFormat="false" ht="15" hidden="false" customHeight="false" outlineLevel="0" collapsed="false">
      <c r="A882" s="12" t="str">
        <f aca="false">IF(F882="","",COUNTA($F$8:F882))</f>
        <v/>
      </c>
      <c r="B882" s="4"/>
      <c r="C882" s="13"/>
      <c r="D882" s="14"/>
      <c r="E882" s="14"/>
      <c r="F882" s="15"/>
      <c r="G882" s="16"/>
      <c r="H882" s="16"/>
      <c r="I882" s="17" t="str">
        <f aca="false">IF(OR(G882="",H882=""),"",H882-G882)</f>
        <v/>
      </c>
      <c r="J882" s="4"/>
      <c r="K882" s="4"/>
      <c r="L882" s="18" t="str">
        <f aca="false">IF(F882="","",IF(COUNTIF('DS XE - TAI XE'!$B$6:$B$505,F882)&gt;0,"✓ Có","Chưa có trong DS xe"))</f>
        <v/>
      </c>
    </row>
    <row r="883" customFormat="false" ht="15" hidden="false" customHeight="false" outlineLevel="0" collapsed="false">
      <c r="A883" s="12" t="str">
        <f aca="false">IF(F883="","",COUNTA($F$8:F883))</f>
        <v/>
      </c>
      <c r="B883" s="4"/>
      <c r="C883" s="13"/>
      <c r="D883" s="14"/>
      <c r="E883" s="14"/>
      <c r="F883" s="15"/>
      <c r="G883" s="16"/>
      <c r="H883" s="16"/>
      <c r="I883" s="17" t="str">
        <f aca="false">IF(OR(G883="",H883=""),"",H883-G883)</f>
        <v/>
      </c>
      <c r="J883" s="4"/>
      <c r="K883" s="4"/>
      <c r="L883" s="18" t="str">
        <f aca="false">IF(F883="","",IF(COUNTIF('DS XE - TAI XE'!$B$6:$B$505,F883)&gt;0,"✓ Có","Chưa có trong DS xe"))</f>
        <v/>
      </c>
    </row>
    <row r="884" customFormat="false" ht="15" hidden="false" customHeight="false" outlineLevel="0" collapsed="false">
      <c r="A884" s="12" t="str">
        <f aca="false">IF(F884="","",COUNTA($F$8:F884))</f>
        <v/>
      </c>
      <c r="B884" s="4"/>
      <c r="C884" s="13"/>
      <c r="D884" s="14"/>
      <c r="E884" s="14"/>
      <c r="F884" s="15"/>
      <c r="G884" s="16"/>
      <c r="H884" s="16"/>
      <c r="I884" s="17" t="str">
        <f aca="false">IF(OR(G884="",H884=""),"",H884-G884)</f>
        <v/>
      </c>
      <c r="J884" s="4"/>
      <c r="K884" s="4"/>
      <c r="L884" s="18" t="str">
        <f aca="false">IF(F884="","",IF(COUNTIF('DS XE - TAI XE'!$B$6:$B$505,F884)&gt;0,"✓ Có","Chưa có trong DS xe"))</f>
        <v/>
      </c>
    </row>
    <row r="885" customFormat="false" ht="15" hidden="false" customHeight="false" outlineLevel="0" collapsed="false">
      <c r="A885" s="12" t="str">
        <f aca="false">IF(F885="","",COUNTA($F$8:F885))</f>
        <v/>
      </c>
      <c r="B885" s="4"/>
      <c r="C885" s="13"/>
      <c r="D885" s="14"/>
      <c r="E885" s="14"/>
      <c r="F885" s="15"/>
      <c r="G885" s="16"/>
      <c r="H885" s="16"/>
      <c r="I885" s="17" t="str">
        <f aca="false">IF(OR(G885="",H885=""),"",H885-G885)</f>
        <v/>
      </c>
      <c r="J885" s="4"/>
      <c r="K885" s="4"/>
      <c r="L885" s="18" t="str">
        <f aca="false">IF(F885="","",IF(COUNTIF('DS XE - TAI XE'!$B$6:$B$505,F885)&gt;0,"✓ Có","Chưa có trong DS xe"))</f>
        <v/>
      </c>
    </row>
    <row r="886" customFormat="false" ht="15" hidden="false" customHeight="false" outlineLevel="0" collapsed="false">
      <c r="A886" s="12" t="str">
        <f aca="false">IF(F886="","",COUNTA($F$8:F886))</f>
        <v/>
      </c>
      <c r="B886" s="4"/>
      <c r="C886" s="13"/>
      <c r="D886" s="14"/>
      <c r="E886" s="14"/>
      <c r="F886" s="15"/>
      <c r="G886" s="16"/>
      <c r="H886" s="16"/>
      <c r="I886" s="17" t="str">
        <f aca="false">IF(OR(G886="",H886=""),"",H886-G886)</f>
        <v/>
      </c>
      <c r="J886" s="4"/>
      <c r="K886" s="4"/>
      <c r="L886" s="18" t="str">
        <f aca="false">IF(F886="","",IF(COUNTIF('DS XE - TAI XE'!$B$6:$B$505,F886)&gt;0,"✓ Có","Chưa có trong DS xe"))</f>
        <v/>
      </c>
    </row>
    <row r="887" customFormat="false" ht="15" hidden="false" customHeight="false" outlineLevel="0" collapsed="false">
      <c r="A887" s="12" t="str">
        <f aca="false">IF(F887="","",COUNTA($F$8:F887))</f>
        <v/>
      </c>
      <c r="B887" s="4"/>
      <c r="C887" s="13"/>
      <c r="D887" s="14"/>
      <c r="E887" s="14"/>
      <c r="F887" s="15"/>
      <c r="G887" s="16"/>
      <c r="H887" s="16"/>
      <c r="I887" s="17" t="str">
        <f aca="false">IF(OR(G887="",H887=""),"",H887-G887)</f>
        <v/>
      </c>
      <c r="J887" s="4"/>
      <c r="K887" s="4"/>
      <c r="L887" s="18" t="str">
        <f aca="false">IF(F887="","",IF(COUNTIF('DS XE - TAI XE'!$B$6:$B$505,F887)&gt;0,"✓ Có","Chưa có trong DS xe"))</f>
        <v/>
      </c>
    </row>
    <row r="888" customFormat="false" ht="15" hidden="false" customHeight="false" outlineLevel="0" collapsed="false">
      <c r="A888" s="12" t="str">
        <f aca="false">IF(F888="","",COUNTA($F$8:F888))</f>
        <v/>
      </c>
      <c r="B888" s="4"/>
      <c r="C888" s="13"/>
      <c r="D888" s="14"/>
      <c r="E888" s="14"/>
      <c r="F888" s="15"/>
      <c r="G888" s="16"/>
      <c r="H888" s="16"/>
      <c r="I888" s="17" t="str">
        <f aca="false">IF(OR(G888="",H888=""),"",H888-G888)</f>
        <v/>
      </c>
      <c r="J888" s="4"/>
      <c r="K888" s="4"/>
      <c r="L888" s="18" t="str">
        <f aca="false">IF(F888="","",IF(COUNTIF('DS XE - TAI XE'!$B$6:$B$505,F888)&gt;0,"✓ Có","Chưa có trong DS xe"))</f>
        <v/>
      </c>
    </row>
    <row r="889" customFormat="false" ht="15" hidden="false" customHeight="false" outlineLevel="0" collapsed="false">
      <c r="A889" s="12" t="str">
        <f aca="false">IF(F889="","",COUNTA($F$8:F889))</f>
        <v/>
      </c>
      <c r="B889" s="4"/>
      <c r="C889" s="13"/>
      <c r="D889" s="14"/>
      <c r="E889" s="14"/>
      <c r="F889" s="15"/>
      <c r="G889" s="16"/>
      <c r="H889" s="16"/>
      <c r="I889" s="17" t="str">
        <f aca="false">IF(OR(G889="",H889=""),"",H889-G889)</f>
        <v/>
      </c>
      <c r="J889" s="4"/>
      <c r="K889" s="4"/>
      <c r="L889" s="18" t="str">
        <f aca="false">IF(F889="","",IF(COUNTIF('DS XE - TAI XE'!$B$6:$B$505,F889)&gt;0,"✓ Có","Chưa có trong DS xe"))</f>
        <v/>
      </c>
    </row>
    <row r="890" customFormat="false" ht="15" hidden="false" customHeight="false" outlineLevel="0" collapsed="false">
      <c r="A890" s="12" t="str">
        <f aca="false">IF(F890="","",COUNTA($F$8:F890))</f>
        <v/>
      </c>
      <c r="B890" s="4"/>
      <c r="C890" s="13"/>
      <c r="D890" s="14"/>
      <c r="E890" s="14"/>
      <c r="F890" s="15"/>
      <c r="G890" s="16"/>
      <c r="H890" s="16"/>
      <c r="I890" s="17" t="str">
        <f aca="false">IF(OR(G890="",H890=""),"",H890-G890)</f>
        <v/>
      </c>
      <c r="J890" s="4"/>
      <c r="K890" s="4"/>
      <c r="L890" s="18" t="str">
        <f aca="false">IF(F890="","",IF(COUNTIF('DS XE - TAI XE'!$B$6:$B$505,F890)&gt;0,"✓ Có","Chưa có trong DS xe"))</f>
        <v/>
      </c>
    </row>
    <row r="891" customFormat="false" ht="15" hidden="false" customHeight="false" outlineLevel="0" collapsed="false">
      <c r="A891" s="12" t="str">
        <f aca="false">IF(F891="","",COUNTA($F$8:F891))</f>
        <v/>
      </c>
      <c r="B891" s="4"/>
      <c r="C891" s="13"/>
      <c r="D891" s="14"/>
      <c r="E891" s="14"/>
      <c r="F891" s="15"/>
      <c r="G891" s="16"/>
      <c r="H891" s="16"/>
      <c r="I891" s="17" t="str">
        <f aca="false">IF(OR(G891="",H891=""),"",H891-G891)</f>
        <v/>
      </c>
      <c r="J891" s="4"/>
      <c r="K891" s="4"/>
      <c r="L891" s="18" t="str">
        <f aca="false">IF(F891="","",IF(COUNTIF('DS XE - TAI XE'!$B$6:$B$505,F891)&gt;0,"✓ Có","Chưa có trong DS xe"))</f>
        <v/>
      </c>
    </row>
    <row r="892" customFormat="false" ht="15" hidden="false" customHeight="false" outlineLevel="0" collapsed="false">
      <c r="A892" s="12" t="str">
        <f aca="false">IF(F892="","",COUNTA($F$8:F892))</f>
        <v/>
      </c>
      <c r="B892" s="4"/>
      <c r="C892" s="13"/>
      <c r="D892" s="14"/>
      <c r="E892" s="14"/>
      <c r="F892" s="15"/>
      <c r="G892" s="16"/>
      <c r="H892" s="16"/>
      <c r="I892" s="17" t="str">
        <f aca="false">IF(OR(G892="",H892=""),"",H892-G892)</f>
        <v/>
      </c>
      <c r="J892" s="4"/>
      <c r="K892" s="4"/>
      <c r="L892" s="18" t="str">
        <f aca="false">IF(F892="","",IF(COUNTIF('DS XE - TAI XE'!$B$6:$B$505,F892)&gt;0,"✓ Có","Chưa có trong DS xe"))</f>
        <v/>
      </c>
    </row>
    <row r="893" customFormat="false" ht="15" hidden="false" customHeight="false" outlineLevel="0" collapsed="false">
      <c r="A893" s="12" t="str">
        <f aca="false">IF(F893="","",COUNTA($F$8:F893))</f>
        <v/>
      </c>
      <c r="B893" s="4"/>
      <c r="C893" s="13"/>
      <c r="D893" s="14"/>
      <c r="E893" s="14"/>
      <c r="F893" s="15"/>
      <c r="G893" s="16"/>
      <c r="H893" s="16"/>
      <c r="I893" s="17" t="str">
        <f aca="false">IF(OR(G893="",H893=""),"",H893-G893)</f>
        <v/>
      </c>
      <c r="J893" s="4"/>
      <c r="K893" s="4"/>
      <c r="L893" s="18" t="str">
        <f aca="false">IF(F893="","",IF(COUNTIF('DS XE - TAI XE'!$B$6:$B$505,F893)&gt;0,"✓ Có","Chưa có trong DS xe"))</f>
        <v/>
      </c>
    </row>
    <row r="894" customFormat="false" ht="15" hidden="false" customHeight="false" outlineLevel="0" collapsed="false">
      <c r="A894" s="12" t="str">
        <f aca="false">IF(F894="","",COUNTA($F$8:F894))</f>
        <v/>
      </c>
      <c r="B894" s="4"/>
      <c r="C894" s="13"/>
      <c r="D894" s="14"/>
      <c r="E894" s="14"/>
      <c r="F894" s="15"/>
      <c r="G894" s="16"/>
      <c r="H894" s="16"/>
      <c r="I894" s="17" t="str">
        <f aca="false">IF(OR(G894="",H894=""),"",H894-G894)</f>
        <v/>
      </c>
      <c r="J894" s="4"/>
      <c r="K894" s="4"/>
      <c r="L894" s="18" t="str">
        <f aca="false">IF(F894="","",IF(COUNTIF('DS XE - TAI XE'!$B$6:$B$505,F894)&gt;0,"✓ Có","Chưa có trong DS xe"))</f>
        <v/>
      </c>
    </row>
    <row r="895" customFormat="false" ht="15" hidden="false" customHeight="false" outlineLevel="0" collapsed="false">
      <c r="A895" s="12" t="str">
        <f aca="false">IF(F895="","",COUNTA($F$8:F895))</f>
        <v/>
      </c>
      <c r="B895" s="4"/>
      <c r="C895" s="13"/>
      <c r="D895" s="14"/>
      <c r="E895" s="14"/>
      <c r="F895" s="15"/>
      <c r="G895" s="16"/>
      <c r="H895" s="16"/>
      <c r="I895" s="17" t="str">
        <f aca="false">IF(OR(G895="",H895=""),"",H895-G895)</f>
        <v/>
      </c>
      <c r="J895" s="4"/>
      <c r="K895" s="4"/>
      <c r="L895" s="18" t="str">
        <f aca="false">IF(F895="","",IF(COUNTIF('DS XE - TAI XE'!$B$6:$B$505,F895)&gt;0,"✓ Có","Chưa có trong DS xe"))</f>
        <v/>
      </c>
    </row>
    <row r="896" customFormat="false" ht="15" hidden="false" customHeight="false" outlineLevel="0" collapsed="false">
      <c r="A896" s="12" t="str">
        <f aca="false">IF(F896="","",COUNTA($F$8:F896))</f>
        <v/>
      </c>
      <c r="B896" s="4"/>
      <c r="C896" s="13"/>
      <c r="D896" s="14"/>
      <c r="E896" s="14"/>
      <c r="F896" s="15"/>
      <c r="G896" s="16"/>
      <c r="H896" s="16"/>
      <c r="I896" s="17" t="str">
        <f aca="false">IF(OR(G896="",H896=""),"",H896-G896)</f>
        <v/>
      </c>
      <c r="J896" s="4"/>
      <c r="K896" s="4"/>
      <c r="L896" s="18" t="str">
        <f aca="false">IF(F896="","",IF(COUNTIF('DS XE - TAI XE'!$B$6:$B$505,F896)&gt;0,"✓ Có","Chưa có trong DS xe"))</f>
        <v/>
      </c>
    </row>
    <row r="897" customFormat="false" ht="15" hidden="false" customHeight="false" outlineLevel="0" collapsed="false">
      <c r="A897" s="12" t="str">
        <f aca="false">IF(F897="","",COUNTA($F$8:F897))</f>
        <v/>
      </c>
      <c r="B897" s="4"/>
      <c r="C897" s="13"/>
      <c r="D897" s="14"/>
      <c r="E897" s="14"/>
      <c r="F897" s="15"/>
      <c r="G897" s="16"/>
      <c r="H897" s="16"/>
      <c r="I897" s="17" t="str">
        <f aca="false">IF(OR(G897="",H897=""),"",H897-G897)</f>
        <v/>
      </c>
      <c r="J897" s="4"/>
      <c r="K897" s="4"/>
      <c r="L897" s="18" t="str">
        <f aca="false">IF(F897="","",IF(COUNTIF('DS XE - TAI XE'!$B$6:$B$505,F897)&gt;0,"✓ Có","Chưa có trong DS xe"))</f>
        <v/>
      </c>
    </row>
    <row r="898" customFormat="false" ht="15" hidden="false" customHeight="false" outlineLevel="0" collapsed="false">
      <c r="A898" s="12" t="str">
        <f aca="false">IF(F898="","",COUNTA($F$8:F898))</f>
        <v/>
      </c>
      <c r="B898" s="4"/>
      <c r="C898" s="13"/>
      <c r="D898" s="14"/>
      <c r="E898" s="14"/>
      <c r="F898" s="15"/>
      <c r="G898" s="16"/>
      <c r="H898" s="16"/>
      <c r="I898" s="17" t="str">
        <f aca="false">IF(OR(G898="",H898=""),"",H898-G898)</f>
        <v/>
      </c>
      <c r="J898" s="4"/>
      <c r="K898" s="4"/>
      <c r="L898" s="18" t="str">
        <f aca="false">IF(F898="","",IF(COUNTIF('DS XE - TAI XE'!$B$6:$B$505,F898)&gt;0,"✓ Có","Chưa có trong DS xe"))</f>
        <v/>
      </c>
    </row>
    <row r="899" customFormat="false" ht="15" hidden="false" customHeight="false" outlineLevel="0" collapsed="false">
      <c r="A899" s="12" t="str">
        <f aca="false">IF(F899="","",COUNTA($F$8:F899))</f>
        <v/>
      </c>
      <c r="B899" s="4"/>
      <c r="C899" s="13"/>
      <c r="D899" s="14"/>
      <c r="E899" s="14"/>
      <c r="F899" s="15"/>
      <c r="G899" s="16"/>
      <c r="H899" s="16"/>
      <c r="I899" s="17" t="str">
        <f aca="false">IF(OR(G899="",H899=""),"",H899-G899)</f>
        <v/>
      </c>
      <c r="J899" s="4"/>
      <c r="K899" s="4"/>
      <c r="L899" s="18" t="str">
        <f aca="false">IF(F899="","",IF(COUNTIF('DS XE - TAI XE'!$B$6:$B$505,F899)&gt;0,"✓ Có","Chưa có trong DS xe"))</f>
        <v/>
      </c>
    </row>
    <row r="900" customFormat="false" ht="15" hidden="false" customHeight="false" outlineLevel="0" collapsed="false">
      <c r="A900" s="12" t="str">
        <f aca="false">IF(F900="","",COUNTA($F$8:F900))</f>
        <v/>
      </c>
      <c r="B900" s="4"/>
      <c r="C900" s="13"/>
      <c r="D900" s="14"/>
      <c r="E900" s="14"/>
      <c r="F900" s="15"/>
      <c r="G900" s="16"/>
      <c r="H900" s="16"/>
      <c r="I900" s="17" t="str">
        <f aca="false">IF(OR(G900="",H900=""),"",H900-G900)</f>
        <v/>
      </c>
      <c r="J900" s="4"/>
      <c r="K900" s="4"/>
      <c r="L900" s="18" t="str">
        <f aca="false">IF(F900="","",IF(COUNTIF('DS XE - TAI XE'!$B$6:$B$505,F900)&gt;0,"✓ Có","Chưa có trong DS xe"))</f>
        <v/>
      </c>
    </row>
    <row r="901" customFormat="false" ht="15" hidden="false" customHeight="false" outlineLevel="0" collapsed="false">
      <c r="A901" s="12" t="str">
        <f aca="false">IF(F901="","",COUNTA($F$8:F901))</f>
        <v/>
      </c>
      <c r="B901" s="4"/>
      <c r="C901" s="13"/>
      <c r="D901" s="14"/>
      <c r="E901" s="14"/>
      <c r="F901" s="15"/>
      <c r="G901" s="16"/>
      <c r="H901" s="16"/>
      <c r="I901" s="17" t="str">
        <f aca="false">IF(OR(G901="",H901=""),"",H901-G901)</f>
        <v/>
      </c>
      <c r="J901" s="4"/>
      <c r="K901" s="4"/>
      <c r="L901" s="18" t="str">
        <f aca="false">IF(F901="","",IF(COUNTIF('DS XE - TAI XE'!$B$6:$B$505,F901)&gt;0,"✓ Có","Chưa có trong DS xe"))</f>
        <v/>
      </c>
    </row>
    <row r="902" customFormat="false" ht="15" hidden="false" customHeight="false" outlineLevel="0" collapsed="false">
      <c r="A902" s="12" t="str">
        <f aca="false">IF(F902="","",COUNTA($F$8:F902))</f>
        <v/>
      </c>
      <c r="B902" s="4"/>
      <c r="C902" s="13"/>
      <c r="D902" s="14"/>
      <c r="E902" s="14"/>
      <c r="F902" s="15"/>
      <c r="G902" s="16"/>
      <c r="H902" s="16"/>
      <c r="I902" s="17" t="str">
        <f aca="false">IF(OR(G902="",H902=""),"",H902-G902)</f>
        <v/>
      </c>
      <c r="J902" s="4"/>
      <c r="K902" s="4"/>
      <c r="L902" s="18" t="str">
        <f aca="false">IF(F902="","",IF(COUNTIF('DS XE - TAI XE'!$B$6:$B$505,F902)&gt;0,"✓ Có","Chưa có trong DS xe"))</f>
        <v/>
      </c>
    </row>
    <row r="903" customFormat="false" ht="15" hidden="false" customHeight="false" outlineLevel="0" collapsed="false">
      <c r="A903" s="12" t="str">
        <f aca="false">IF(F903="","",COUNTA($F$8:F903))</f>
        <v/>
      </c>
      <c r="B903" s="4"/>
      <c r="C903" s="13"/>
      <c r="D903" s="14"/>
      <c r="E903" s="14"/>
      <c r="F903" s="15"/>
      <c r="G903" s="16"/>
      <c r="H903" s="16"/>
      <c r="I903" s="17" t="str">
        <f aca="false">IF(OR(G903="",H903=""),"",H903-G903)</f>
        <v/>
      </c>
      <c r="J903" s="4"/>
      <c r="K903" s="4"/>
      <c r="L903" s="18" t="str">
        <f aca="false">IF(F903="","",IF(COUNTIF('DS XE - TAI XE'!$B$6:$B$505,F903)&gt;0,"✓ Có","Chưa có trong DS xe"))</f>
        <v/>
      </c>
    </row>
    <row r="904" customFormat="false" ht="15" hidden="false" customHeight="false" outlineLevel="0" collapsed="false">
      <c r="A904" s="12" t="str">
        <f aca="false">IF(F904="","",COUNTA($F$8:F904))</f>
        <v/>
      </c>
      <c r="B904" s="4"/>
      <c r="C904" s="13"/>
      <c r="D904" s="14"/>
      <c r="E904" s="14"/>
      <c r="F904" s="15"/>
      <c r="G904" s="16"/>
      <c r="H904" s="16"/>
      <c r="I904" s="17" t="str">
        <f aca="false">IF(OR(G904="",H904=""),"",H904-G904)</f>
        <v/>
      </c>
      <c r="J904" s="4"/>
      <c r="K904" s="4"/>
      <c r="L904" s="18" t="str">
        <f aca="false">IF(F904="","",IF(COUNTIF('DS XE - TAI XE'!$B$6:$B$505,F904)&gt;0,"✓ Có","Chưa có trong DS xe"))</f>
        <v/>
      </c>
    </row>
    <row r="905" customFormat="false" ht="15" hidden="false" customHeight="false" outlineLevel="0" collapsed="false">
      <c r="A905" s="12" t="str">
        <f aca="false">IF(F905="","",COUNTA($F$8:F905))</f>
        <v/>
      </c>
      <c r="B905" s="4"/>
      <c r="C905" s="13"/>
      <c r="D905" s="14"/>
      <c r="E905" s="14"/>
      <c r="F905" s="15"/>
      <c r="G905" s="16"/>
      <c r="H905" s="16"/>
      <c r="I905" s="17" t="str">
        <f aca="false">IF(OR(G905="",H905=""),"",H905-G905)</f>
        <v/>
      </c>
      <c r="J905" s="4"/>
      <c r="K905" s="4"/>
      <c r="L905" s="18" t="str">
        <f aca="false">IF(F905="","",IF(COUNTIF('DS XE - TAI XE'!$B$6:$B$505,F905)&gt;0,"✓ Có","Chưa có trong DS xe"))</f>
        <v/>
      </c>
    </row>
    <row r="906" customFormat="false" ht="15" hidden="false" customHeight="false" outlineLevel="0" collapsed="false">
      <c r="A906" s="12" t="str">
        <f aca="false">IF(F906="","",COUNTA($F$8:F906))</f>
        <v/>
      </c>
      <c r="B906" s="4"/>
      <c r="C906" s="13"/>
      <c r="D906" s="14"/>
      <c r="E906" s="14"/>
      <c r="F906" s="15"/>
      <c r="G906" s="16"/>
      <c r="H906" s="16"/>
      <c r="I906" s="17" t="str">
        <f aca="false">IF(OR(G906="",H906=""),"",H906-G906)</f>
        <v/>
      </c>
      <c r="J906" s="4"/>
      <c r="K906" s="4"/>
      <c r="L906" s="18" t="str">
        <f aca="false">IF(F906="","",IF(COUNTIF('DS XE - TAI XE'!$B$6:$B$505,F906)&gt;0,"✓ Có","Chưa có trong DS xe"))</f>
        <v/>
      </c>
    </row>
    <row r="907" customFormat="false" ht="15" hidden="false" customHeight="false" outlineLevel="0" collapsed="false">
      <c r="A907" s="12" t="str">
        <f aca="false">IF(F907="","",COUNTA($F$8:F907))</f>
        <v/>
      </c>
      <c r="B907" s="4"/>
      <c r="C907" s="13"/>
      <c r="D907" s="14"/>
      <c r="E907" s="14"/>
      <c r="F907" s="15"/>
      <c r="G907" s="16"/>
      <c r="H907" s="16"/>
      <c r="I907" s="17" t="str">
        <f aca="false">IF(OR(G907="",H907=""),"",H907-G907)</f>
        <v/>
      </c>
      <c r="J907" s="4"/>
      <c r="K907" s="4"/>
      <c r="L907" s="18" t="str">
        <f aca="false">IF(F907="","",IF(COUNTIF('DS XE - TAI XE'!$B$6:$B$505,F907)&gt;0,"✓ Có","Chưa có trong DS xe"))</f>
        <v/>
      </c>
    </row>
    <row r="908" customFormat="false" ht="15" hidden="false" customHeight="false" outlineLevel="0" collapsed="false">
      <c r="A908" s="12" t="str">
        <f aca="false">IF(F908="","",COUNTA($F$8:F908))</f>
        <v/>
      </c>
      <c r="B908" s="4"/>
      <c r="C908" s="13"/>
      <c r="D908" s="14"/>
      <c r="E908" s="14"/>
      <c r="F908" s="15"/>
      <c r="G908" s="16"/>
      <c r="H908" s="16"/>
      <c r="I908" s="17" t="str">
        <f aca="false">IF(OR(G908="",H908=""),"",H908-G908)</f>
        <v/>
      </c>
      <c r="J908" s="4"/>
      <c r="K908" s="4"/>
      <c r="L908" s="18" t="str">
        <f aca="false">IF(F908="","",IF(COUNTIF('DS XE - TAI XE'!$B$6:$B$505,F908)&gt;0,"✓ Có","Chưa có trong DS xe"))</f>
        <v/>
      </c>
    </row>
    <row r="909" customFormat="false" ht="15" hidden="false" customHeight="false" outlineLevel="0" collapsed="false">
      <c r="A909" s="12" t="str">
        <f aca="false">IF(F909="","",COUNTA($F$8:F909))</f>
        <v/>
      </c>
      <c r="B909" s="4"/>
      <c r="C909" s="13"/>
      <c r="D909" s="14"/>
      <c r="E909" s="14"/>
      <c r="F909" s="15"/>
      <c r="G909" s="16"/>
      <c r="H909" s="16"/>
      <c r="I909" s="17" t="str">
        <f aca="false">IF(OR(G909="",H909=""),"",H909-G909)</f>
        <v/>
      </c>
      <c r="J909" s="4"/>
      <c r="K909" s="4"/>
      <c r="L909" s="18" t="str">
        <f aca="false">IF(F909="","",IF(COUNTIF('DS XE - TAI XE'!$B$6:$B$505,F909)&gt;0,"✓ Có","Chưa có trong DS xe"))</f>
        <v/>
      </c>
    </row>
    <row r="910" customFormat="false" ht="15" hidden="false" customHeight="false" outlineLevel="0" collapsed="false">
      <c r="A910" s="12" t="str">
        <f aca="false">IF(F910="","",COUNTA($F$8:F910))</f>
        <v/>
      </c>
      <c r="B910" s="4"/>
      <c r="C910" s="13"/>
      <c r="D910" s="14"/>
      <c r="E910" s="14"/>
      <c r="F910" s="15"/>
      <c r="G910" s="16"/>
      <c r="H910" s="16"/>
      <c r="I910" s="17" t="str">
        <f aca="false">IF(OR(G910="",H910=""),"",H910-G910)</f>
        <v/>
      </c>
      <c r="J910" s="4"/>
      <c r="K910" s="4"/>
      <c r="L910" s="18" t="str">
        <f aca="false">IF(F910="","",IF(COUNTIF('DS XE - TAI XE'!$B$6:$B$505,F910)&gt;0,"✓ Có","Chưa có trong DS xe"))</f>
        <v/>
      </c>
    </row>
    <row r="911" customFormat="false" ht="15" hidden="false" customHeight="false" outlineLevel="0" collapsed="false">
      <c r="A911" s="12" t="str">
        <f aca="false">IF(F911="","",COUNTA($F$8:F911))</f>
        <v/>
      </c>
      <c r="B911" s="4"/>
      <c r="C911" s="13"/>
      <c r="D911" s="14"/>
      <c r="E911" s="14"/>
      <c r="F911" s="15"/>
      <c r="G911" s="16"/>
      <c r="H911" s="16"/>
      <c r="I911" s="17" t="str">
        <f aca="false">IF(OR(G911="",H911=""),"",H911-G911)</f>
        <v/>
      </c>
      <c r="J911" s="4"/>
      <c r="K911" s="4"/>
      <c r="L911" s="18" t="str">
        <f aca="false">IF(F911="","",IF(COUNTIF('DS XE - TAI XE'!$B$6:$B$505,F911)&gt;0,"✓ Có","Chưa có trong DS xe"))</f>
        <v/>
      </c>
    </row>
    <row r="912" customFormat="false" ht="15" hidden="false" customHeight="false" outlineLevel="0" collapsed="false">
      <c r="A912" s="12" t="str">
        <f aca="false">IF(F912="","",COUNTA($F$8:F912))</f>
        <v/>
      </c>
      <c r="B912" s="4"/>
      <c r="C912" s="13"/>
      <c r="D912" s="14"/>
      <c r="E912" s="14"/>
      <c r="F912" s="15"/>
      <c r="G912" s="16"/>
      <c r="H912" s="16"/>
      <c r="I912" s="17" t="str">
        <f aca="false">IF(OR(G912="",H912=""),"",H912-G912)</f>
        <v/>
      </c>
      <c r="J912" s="4"/>
      <c r="K912" s="4"/>
      <c r="L912" s="18" t="str">
        <f aca="false">IF(F912="","",IF(COUNTIF('DS XE - TAI XE'!$B$6:$B$505,F912)&gt;0,"✓ Có","Chưa có trong DS xe"))</f>
        <v/>
      </c>
    </row>
    <row r="913" customFormat="false" ht="15" hidden="false" customHeight="false" outlineLevel="0" collapsed="false">
      <c r="A913" s="12" t="str">
        <f aca="false">IF(F913="","",COUNTA($F$8:F913))</f>
        <v/>
      </c>
      <c r="B913" s="4"/>
      <c r="C913" s="13"/>
      <c r="D913" s="14"/>
      <c r="E913" s="14"/>
      <c r="F913" s="15"/>
      <c r="G913" s="16"/>
      <c r="H913" s="16"/>
      <c r="I913" s="17" t="str">
        <f aca="false">IF(OR(G913="",H913=""),"",H913-G913)</f>
        <v/>
      </c>
      <c r="J913" s="4"/>
      <c r="K913" s="4"/>
      <c r="L913" s="18" t="str">
        <f aca="false">IF(F913="","",IF(COUNTIF('DS XE - TAI XE'!$B$6:$B$505,F913)&gt;0,"✓ Có","Chưa có trong DS xe"))</f>
        <v/>
      </c>
    </row>
    <row r="914" customFormat="false" ht="15" hidden="false" customHeight="false" outlineLevel="0" collapsed="false">
      <c r="A914" s="12" t="str">
        <f aca="false">IF(F914="","",COUNTA($F$8:F914))</f>
        <v/>
      </c>
      <c r="B914" s="4"/>
      <c r="C914" s="13"/>
      <c r="D914" s="14"/>
      <c r="E914" s="14"/>
      <c r="F914" s="15"/>
      <c r="G914" s="16"/>
      <c r="H914" s="16"/>
      <c r="I914" s="17" t="str">
        <f aca="false">IF(OR(G914="",H914=""),"",H914-G914)</f>
        <v/>
      </c>
      <c r="J914" s="4"/>
      <c r="K914" s="4"/>
      <c r="L914" s="18" t="str">
        <f aca="false">IF(F914="","",IF(COUNTIF('DS XE - TAI XE'!$B$6:$B$505,F914)&gt;0,"✓ Có","Chưa có trong DS xe"))</f>
        <v/>
      </c>
    </row>
    <row r="915" customFormat="false" ht="15" hidden="false" customHeight="false" outlineLevel="0" collapsed="false">
      <c r="A915" s="12" t="str">
        <f aca="false">IF(F915="","",COUNTA($F$8:F915))</f>
        <v/>
      </c>
      <c r="B915" s="4"/>
      <c r="C915" s="13"/>
      <c r="D915" s="14"/>
      <c r="E915" s="14"/>
      <c r="F915" s="15"/>
      <c r="G915" s="16"/>
      <c r="H915" s="16"/>
      <c r="I915" s="17" t="str">
        <f aca="false">IF(OR(G915="",H915=""),"",H915-G915)</f>
        <v/>
      </c>
      <c r="J915" s="4"/>
      <c r="K915" s="4"/>
      <c r="L915" s="18" t="str">
        <f aca="false">IF(F915="","",IF(COUNTIF('DS XE - TAI XE'!$B$6:$B$505,F915)&gt;0,"✓ Có","Chưa có trong DS xe"))</f>
        <v/>
      </c>
    </row>
    <row r="916" customFormat="false" ht="15" hidden="false" customHeight="false" outlineLevel="0" collapsed="false">
      <c r="A916" s="12" t="str">
        <f aca="false">IF(F916="","",COUNTA($F$8:F916))</f>
        <v/>
      </c>
      <c r="B916" s="4"/>
      <c r="C916" s="13"/>
      <c r="D916" s="14"/>
      <c r="E916" s="14"/>
      <c r="F916" s="15"/>
      <c r="G916" s="16"/>
      <c r="H916" s="16"/>
      <c r="I916" s="17" t="str">
        <f aca="false">IF(OR(G916="",H916=""),"",H916-G916)</f>
        <v/>
      </c>
      <c r="J916" s="4"/>
      <c r="K916" s="4"/>
      <c r="L916" s="18" t="str">
        <f aca="false">IF(F916="","",IF(COUNTIF('DS XE - TAI XE'!$B$6:$B$505,F916)&gt;0,"✓ Có","Chưa có trong DS xe"))</f>
        <v/>
      </c>
    </row>
    <row r="917" customFormat="false" ht="15" hidden="false" customHeight="false" outlineLevel="0" collapsed="false">
      <c r="A917" s="12" t="str">
        <f aca="false">IF(F917="","",COUNTA($F$8:F917))</f>
        <v/>
      </c>
      <c r="B917" s="4"/>
      <c r="C917" s="13"/>
      <c r="D917" s="14"/>
      <c r="E917" s="14"/>
      <c r="F917" s="15"/>
      <c r="G917" s="16"/>
      <c r="H917" s="16"/>
      <c r="I917" s="17" t="str">
        <f aca="false">IF(OR(G917="",H917=""),"",H917-G917)</f>
        <v/>
      </c>
      <c r="J917" s="4"/>
      <c r="K917" s="4"/>
      <c r="L917" s="18" t="str">
        <f aca="false">IF(F917="","",IF(COUNTIF('DS XE - TAI XE'!$B$6:$B$505,F917)&gt;0,"✓ Có","Chưa có trong DS xe"))</f>
        <v/>
      </c>
    </row>
    <row r="918" customFormat="false" ht="15" hidden="false" customHeight="false" outlineLevel="0" collapsed="false">
      <c r="A918" s="12" t="str">
        <f aca="false">IF(F918="","",COUNTA($F$8:F918))</f>
        <v/>
      </c>
      <c r="B918" s="4"/>
      <c r="C918" s="13"/>
      <c r="D918" s="14"/>
      <c r="E918" s="14"/>
      <c r="F918" s="15"/>
      <c r="G918" s="16"/>
      <c r="H918" s="16"/>
      <c r="I918" s="17" t="str">
        <f aca="false">IF(OR(G918="",H918=""),"",H918-G918)</f>
        <v/>
      </c>
      <c r="J918" s="4"/>
      <c r="K918" s="4"/>
      <c r="L918" s="18" t="str">
        <f aca="false">IF(F918="","",IF(COUNTIF('DS XE - TAI XE'!$B$6:$B$505,F918)&gt;0,"✓ Có","Chưa có trong DS xe"))</f>
        <v/>
      </c>
    </row>
    <row r="919" customFormat="false" ht="15" hidden="false" customHeight="false" outlineLevel="0" collapsed="false">
      <c r="A919" s="12" t="str">
        <f aca="false">IF(F919="","",COUNTA($F$8:F919))</f>
        <v/>
      </c>
      <c r="B919" s="4"/>
      <c r="C919" s="13"/>
      <c r="D919" s="14"/>
      <c r="E919" s="14"/>
      <c r="F919" s="15"/>
      <c r="G919" s="16"/>
      <c r="H919" s="16"/>
      <c r="I919" s="17" t="str">
        <f aca="false">IF(OR(G919="",H919=""),"",H919-G919)</f>
        <v/>
      </c>
      <c r="J919" s="4"/>
      <c r="K919" s="4"/>
      <c r="L919" s="18" t="str">
        <f aca="false">IF(F919="","",IF(COUNTIF('DS XE - TAI XE'!$B$6:$B$505,F919)&gt;0,"✓ Có","Chưa có trong DS xe"))</f>
        <v/>
      </c>
    </row>
    <row r="920" customFormat="false" ht="15" hidden="false" customHeight="false" outlineLevel="0" collapsed="false">
      <c r="A920" s="12" t="str">
        <f aca="false">IF(F920="","",COUNTA($F$8:F920))</f>
        <v/>
      </c>
      <c r="B920" s="4"/>
      <c r="C920" s="13"/>
      <c r="D920" s="14"/>
      <c r="E920" s="14"/>
      <c r="F920" s="15"/>
      <c r="G920" s="16"/>
      <c r="H920" s="16"/>
      <c r="I920" s="17" t="str">
        <f aca="false">IF(OR(G920="",H920=""),"",H920-G920)</f>
        <v/>
      </c>
      <c r="J920" s="4"/>
      <c r="K920" s="4"/>
      <c r="L920" s="18" t="str">
        <f aca="false">IF(F920="","",IF(COUNTIF('DS XE - TAI XE'!$B$6:$B$505,F920)&gt;0,"✓ Có","Chưa có trong DS xe"))</f>
        <v/>
      </c>
    </row>
    <row r="921" customFormat="false" ht="15" hidden="false" customHeight="false" outlineLevel="0" collapsed="false">
      <c r="A921" s="12" t="str">
        <f aca="false">IF(F921="","",COUNTA($F$8:F921))</f>
        <v/>
      </c>
      <c r="B921" s="4"/>
      <c r="C921" s="13"/>
      <c r="D921" s="14"/>
      <c r="E921" s="14"/>
      <c r="F921" s="15"/>
      <c r="G921" s="16"/>
      <c r="H921" s="16"/>
      <c r="I921" s="17" t="str">
        <f aca="false">IF(OR(G921="",H921=""),"",H921-G921)</f>
        <v/>
      </c>
      <c r="J921" s="4"/>
      <c r="K921" s="4"/>
      <c r="L921" s="18" t="str">
        <f aca="false">IF(F921="","",IF(COUNTIF('DS XE - TAI XE'!$B$6:$B$505,F921)&gt;0,"✓ Có","Chưa có trong DS xe"))</f>
        <v/>
      </c>
    </row>
    <row r="922" customFormat="false" ht="15" hidden="false" customHeight="false" outlineLevel="0" collapsed="false">
      <c r="A922" s="12" t="str">
        <f aca="false">IF(F922="","",COUNTA($F$8:F922))</f>
        <v/>
      </c>
      <c r="B922" s="4"/>
      <c r="C922" s="13"/>
      <c r="D922" s="14"/>
      <c r="E922" s="14"/>
      <c r="F922" s="15"/>
      <c r="G922" s="16"/>
      <c r="H922" s="16"/>
      <c r="I922" s="17" t="str">
        <f aca="false">IF(OR(G922="",H922=""),"",H922-G922)</f>
        <v/>
      </c>
      <c r="J922" s="4"/>
      <c r="K922" s="4"/>
      <c r="L922" s="18" t="str">
        <f aca="false">IF(F922="","",IF(COUNTIF('DS XE - TAI XE'!$B$6:$B$505,F922)&gt;0,"✓ Có","Chưa có trong DS xe"))</f>
        <v/>
      </c>
    </row>
    <row r="923" customFormat="false" ht="15" hidden="false" customHeight="false" outlineLevel="0" collapsed="false">
      <c r="A923" s="12" t="str">
        <f aca="false">IF(F923="","",COUNTA($F$8:F923))</f>
        <v/>
      </c>
      <c r="B923" s="4"/>
      <c r="C923" s="13"/>
      <c r="D923" s="14"/>
      <c r="E923" s="14"/>
      <c r="F923" s="15"/>
      <c r="G923" s="16"/>
      <c r="H923" s="16"/>
      <c r="I923" s="17" t="str">
        <f aca="false">IF(OR(G923="",H923=""),"",H923-G923)</f>
        <v/>
      </c>
      <c r="J923" s="4"/>
      <c r="K923" s="4"/>
      <c r="L923" s="18" t="str">
        <f aca="false">IF(F923="","",IF(COUNTIF('DS XE - TAI XE'!$B$6:$B$505,F923)&gt;0,"✓ Có","Chưa có trong DS xe"))</f>
        <v/>
      </c>
    </row>
    <row r="924" customFormat="false" ht="15" hidden="false" customHeight="false" outlineLevel="0" collapsed="false">
      <c r="A924" s="12" t="str">
        <f aca="false">IF(F924="","",COUNTA($F$8:F924))</f>
        <v/>
      </c>
      <c r="B924" s="4"/>
      <c r="C924" s="13"/>
      <c r="D924" s="14"/>
      <c r="E924" s="14"/>
      <c r="F924" s="15"/>
      <c r="G924" s="16"/>
      <c r="H924" s="16"/>
      <c r="I924" s="17" t="str">
        <f aca="false">IF(OR(G924="",H924=""),"",H924-G924)</f>
        <v/>
      </c>
      <c r="J924" s="4"/>
      <c r="K924" s="4"/>
      <c r="L924" s="18" t="str">
        <f aca="false">IF(F924="","",IF(COUNTIF('DS XE - TAI XE'!$B$6:$B$505,F924)&gt;0,"✓ Có","Chưa có trong DS xe"))</f>
        <v/>
      </c>
    </row>
    <row r="925" customFormat="false" ht="15" hidden="false" customHeight="false" outlineLevel="0" collapsed="false">
      <c r="A925" s="12" t="str">
        <f aca="false">IF(F925="","",COUNTA($F$8:F925))</f>
        <v/>
      </c>
      <c r="B925" s="4"/>
      <c r="C925" s="13"/>
      <c r="D925" s="14"/>
      <c r="E925" s="14"/>
      <c r="F925" s="15"/>
      <c r="G925" s="16"/>
      <c r="H925" s="16"/>
      <c r="I925" s="17" t="str">
        <f aca="false">IF(OR(G925="",H925=""),"",H925-G925)</f>
        <v/>
      </c>
      <c r="J925" s="4"/>
      <c r="K925" s="4"/>
      <c r="L925" s="18" t="str">
        <f aca="false">IF(F925="","",IF(COUNTIF('DS XE - TAI XE'!$B$6:$B$505,F925)&gt;0,"✓ Có","Chưa có trong DS xe"))</f>
        <v/>
      </c>
    </row>
    <row r="926" customFormat="false" ht="15" hidden="false" customHeight="false" outlineLevel="0" collapsed="false">
      <c r="A926" s="12" t="str">
        <f aca="false">IF(F926="","",COUNTA($F$8:F926))</f>
        <v/>
      </c>
      <c r="B926" s="4"/>
      <c r="C926" s="13"/>
      <c r="D926" s="14"/>
      <c r="E926" s="14"/>
      <c r="F926" s="15"/>
      <c r="G926" s="16"/>
      <c r="H926" s="16"/>
      <c r="I926" s="17" t="str">
        <f aca="false">IF(OR(G926="",H926=""),"",H926-G926)</f>
        <v/>
      </c>
      <c r="J926" s="4"/>
      <c r="K926" s="4"/>
      <c r="L926" s="18" t="str">
        <f aca="false">IF(F926="","",IF(COUNTIF('DS XE - TAI XE'!$B$6:$B$505,F926)&gt;0,"✓ Có","Chưa có trong DS xe"))</f>
        <v/>
      </c>
    </row>
    <row r="927" customFormat="false" ht="15" hidden="false" customHeight="false" outlineLevel="0" collapsed="false">
      <c r="A927" s="12" t="str">
        <f aca="false">IF(F927="","",COUNTA($F$8:F927))</f>
        <v/>
      </c>
      <c r="B927" s="4"/>
      <c r="C927" s="13"/>
      <c r="D927" s="14"/>
      <c r="E927" s="14"/>
      <c r="F927" s="15"/>
      <c r="G927" s="16"/>
      <c r="H927" s="16"/>
      <c r="I927" s="17" t="str">
        <f aca="false">IF(OR(G927="",H927=""),"",H927-G927)</f>
        <v/>
      </c>
      <c r="J927" s="4"/>
      <c r="K927" s="4"/>
      <c r="L927" s="18" t="str">
        <f aca="false">IF(F927="","",IF(COUNTIF('DS XE - TAI XE'!$B$6:$B$505,F927)&gt;0,"✓ Có","Chưa có trong DS xe"))</f>
        <v/>
      </c>
    </row>
    <row r="928" customFormat="false" ht="15" hidden="false" customHeight="false" outlineLevel="0" collapsed="false">
      <c r="A928" s="12" t="str">
        <f aca="false">IF(F928="","",COUNTA($F$8:F928))</f>
        <v/>
      </c>
      <c r="B928" s="4"/>
      <c r="C928" s="13"/>
      <c r="D928" s="14"/>
      <c r="E928" s="14"/>
      <c r="F928" s="15"/>
      <c r="G928" s="16"/>
      <c r="H928" s="16"/>
      <c r="I928" s="17" t="str">
        <f aca="false">IF(OR(G928="",H928=""),"",H928-G928)</f>
        <v/>
      </c>
      <c r="J928" s="4"/>
      <c r="K928" s="4"/>
      <c r="L928" s="18" t="str">
        <f aca="false">IF(F928="","",IF(COUNTIF('DS XE - TAI XE'!$B$6:$B$505,F928)&gt;0,"✓ Có","Chưa có trong DS xe"))</f>
        <v/>
      </c>
    </row>
    <row r="929" customFormat="false" ht="15" hidden="false" customHeight="false" outlineLevel="0" collapsed="false">
      <c r="A929" s="12" t="str">
        <f aca="false">IF(F929="","",COUNTA($F$8:F929))</f>
        <v/>
      </c>
      <c r="B929" s="4"/>
      <c r="C929" s="13"/>
      <c r="D929" s="14"/>
      <c r="E929" s="14"/>
      <c r="F929" s="15"/>
      <c r="G929" s="16"/>
      <c r="H929" s="16"/>
      <c r="I929" s="17" t="str">
        <f aca="false">IF(OR(G929="",H929=""),"",H929-G929)</f>
        <v/>
      </c>
      <c r="J929" s="4"/>
      <c r="K929" s="4"/>
      <c r="L929" s="18" t="str">
        <f aca="false">IF(F929="","",IF(COUNTIF('DS XE - TAI XE'!$B$6:$B$505,F929)&gt;0,"✓ Có","Chưa có trong DS xe"))</f>
        <v/>
      </c>
    </row>
    <row r="930" customFormat="false" ht="15" hidden="false" customHeight="false" outlineLevel="0" collapsed="false">
      <c r="A930" s="12" t="str">
        <f aca="false">IF(F930="","",COUNTA($F$8:F930))</f>
        <v/>
      </c>
      <c r="B930" s="4"/>
      <c r="C930" s="13"/>
      <c r="D930" s="14"/>
      <c r="E930" s="14"/>
      <c r="F930" s="15"/>
      <c r="G930" s="16"/>
      <c r="H930" s="16"/>
      <c r="I930" s="17" t="str">
        <f aca="false">IF(OR(G930="",H930=""),"",H930-G930)</f>
        <v/>
      </c>
      <c r="J930" s="4"/>
      <c r="K930" s="4"/>
      <c r="L930" s="18" t="str">
        <f aca="false">IF(F930="","",IF(COUNTIF('DS XE - TAI XE'!$B$6:$B$505,F930)&gt;0,"✓ Có","Chưa có trong DS xe"))</f>
        <v/>
      </c>
    </row>
    <row r="931" customFormat="false" ht="15" hidden="false" customHeight="false" outlineLevel="0" collapsed="false">
      <c r="A931" s="12" t="str">
        <f aca="false">IF(F931="","",COUNTA($F$8:F931))</f>
        <v/>
      </c>
      <c r="B931" s="4"/>
      <c r="C931" s="13"/>
      <c r="D931" s="14"/>
      <c r="E931" s="14"/>
      <c r="F931" s="15"/>
      <c r="G931" s="16"/>
      <c r="H931" s="16"/>
      <c r="I931" s="17" t="str">
        <f aca="false">IF(OR(G931="",H931=""),"",H931-G931)</f>
        <v/>
      </c>
      <c r="J931" s="4"/>
      <c r="K931" s="4"/>
      <c r="L931" s="18" t="str">
        <f aca="false">IF(F931="","",IF(COUNTIF('DS XE - TAI XE'!$B$6:$B$505,F931)&gt;0,"✓ Có","Chưa có trong DS xe"))</f>
        <v/>
      </c>
    </row>
    <row r="932" customFormat="false" ht="15" hidden="false" customHeight="false" outlineLevel="0" collapsed="false">
      <c r="A932" s="12" t="str">
        <f aca="false">IF(F932="","",COUNTA($F$8:F932))</f>
        <v/>
      </c>
      <c r="B932" s="4"/>
      <c r="C932" s="13"/>
      <c r="D932" s="14"/>
      <c r="E932" s="14"/>
      <c r="F932" s="15"/>
      <c r="G932" s="16"/>
      <c r="H932" s="16"/>
      <c r="I932" s="17" t="str">
        <f aca="false">IF(OR(G932="",H932=""),"",H932-G932)</f>
        <v/>
      </c>
      <c r="J932" s="4"/>
      <c r="K932" s="4"/>
      <c r="L932" s="18" t="str">
        <f aca="false">IF(F932="","",IF(COUNTIF('DS XE - TAI XE'!$B$6:$B$505,F932)&gt;0,"✓ Có","Chưa có trong DS xe"))</f>
        <v/>
      </c>
    </row>
    <row r="933" customFormat="false" ht="15" hidden="false" customHeight="false" outlineLevel="0" collapsed="false">
      <c r="A933" s="12" t="str">
        <f aca="false">IF(F933="","",COUNTA($F$8:F933))</f>
        <v/>
      </c>
      <c r="B933" s="4"/>
      <c r="C933" s="13"/>
      <c r="D933" s="14"/>
      <c r="E933" s="14"/>
      <c r="F933" s="15"/>
      <c r="G933" s="16"/>
      <c r="H933" s="16"/>
      <c r="I933" s="17" t="str">
        <f aca="false">IF(OR(G933="",H933=""),"",H933-G933)</f>
        <v/>
      </c>
      <c r="J933" s="4"/>
      <c r="K933" s="4"/>
      <c r="L933" s="18" t="str">
        <f aca="false">IF(F933="","",IF(COUNTIF('DS XE - TAI XE'!$B$6:$B$505,F933)&gt;0,"✓ Có","Chưa có trong DS xe"))</f>
        <v/>
      </c>
    </row>
    <row r="934" customFormat="false" ht="15" hidden="false" customHeight="false" outlineLevel="0" collapsed="false">
      <c r="A934" s="12" t="str">
        <f aca="false">IF(F934="","",COUNTA($F$8:F934))</f>
        <v/>
      </c>
      <c r="B934" s="4"/>
      <c r="C934" s="13"/>
      <c r="D934" s="14"/>
      <c r="E934" s="14"/>
      <c r="F934" s="15"/>
      <c r="G934" s="16"/>
      <c r="H934" s="16"/>
      <c r="I934" s="17" t="str">
        <f aca="false">IF(OR(G934="",H934=""),"",H934-G934)</f>
        <v/>
      </c>
      <c r="J934" s="4"/>
      <c r="K934" s="4"/>
      <c r="L934" s="18" t="str">
        <f aca="false">IF(F934="","",IF(COUNTIF('DS XE - TAI XE'!$B$6:$B$505,F934)&gt;0,"✓ Có","Chưa có trong DS xe"))</f>
        <v/>
      </c>
    </row>
    <row r="935" customFormat="false" ht="15" hidden="false" customHeight="false" outlineLevel="0" collapsed="false">
      <c r="A935" s="12" t="str">
        <f aca="false">IF(F935="","",COUNTA($F$8:F935))</f>
        <v/>
      </c>
      <c r="B935" s="4"/>
      <c r="C935" s="13"/>
      <c r="D935" s="14"/>
      <c r="E935" s="14"/>
      <c r="F935" s="15"/>
      <c r="G935" s="16"/>
      <c r="H935" s="16"/>
      <c r="I935" s="17" t="str">
        <f aca="false">IF(OR(G935="",H935=""),"",H935-G935)</f>
        <v/>
      </c>
      <c r="J935" s="4"/>
      <c r="K935" s="4"/>
      <c r="L935" s="18" t="str">
        <f aca="false">IF(F935="","",IF(COUNTIF('DS XE - TAI XE'!$B$6:$B$505,F935)&gt;0,"✓ Có","Chưa có trong DS xe"))</f>
        <v/>
      </c>
    </row>
    <row r="936" customFormat="false" ht="15" hidden="false" customHeight="false" outlineLevel="0" collapsed="false">
      <c r="A936" s="12" t="str">
        <f aca="false">IF(F936="","",COUNTA($F$8:F936))</f>
        <v/>
      </c>
      <c r="B936" s="4"/>
      <c r="C936" s="13"/>
      <c r="D936" s="14"/>
      <c r="E936" s="14"/>
      <c r="F936" s="15"/>
      <c r="G936" s="16"/>
      <c r="H936" s="16"/>
      <c r="I936" s="17" t="str">
        <f aca="false">IF(OR(G936="",H936=""),"",H936-G936)</f>
        <v/>
      </c>
      <c r="J936" s="4"/>
      <c r="K936" s="4"/>
      <c r="L936" s="18" t="str">
        <f aca="false">IF(F936="","",IF(COUNTIF('DS XE - TAI XE'!$B$6:$B$505,F936)&gt;0,"✓ Có","Chưa có trong DS xe"))</f>
        <v/>
      </c>
    </row>
    <row r="937" customFormat="false" ht="15" hidden="false" customHeight="false" outlineLevel="0" collapsed="false">
      <c r="A937" s="12" t="str">
        <f aca="false">IF(F937="","",COUNTA($F$8:F937))</f>
        <v/>
      </c>
      <c r="B937" s="4"/>
      <c r="C937" s="13"/>
      <c r="D937" s="14"/>
      <c r="E937" s="14"/>
      <c r="F937" s="15"/>
      <c r="G937" s="16"/>
      <c r="H937" s="16"/>
      <c r="I937" s="17" t="str">
        <f aca="false">IF(OR(G937="",H937=""),"",H937-G937)</f>
        <v/>
      </c>
      <c r="J937" s="4"/>
      <c r="K937" s="4"/>
      <c r="L937" s="18" t="str">
        <f aca="false">IF(F937="","",IF(COUNTIF('DS XE - TAI XE'!$B$6:$B$505,F937)&gt;0,"✓ Có","Chưa có trong DS xe"))</f>
        <v/>
      </c>
    </row>
    <row r="938" customFormat="false" ht="15" hidden="false" customHeight="false" outlineLevel="0" collapsed="false">
      <c r="A938" s="12" t="str">
        <f aca="false">IF(F938="","",COUNTA($F$8:F938))</f>
        <v/>
      </c>
      <c r="B938" s="4"/>
      <c r="C938" s="13"/>
      <c r="D938" s="14"/>
      <c r="E938" s="14"/>
      <c r="F938" s="15"/>
      <c r="G938" s="16"/>
      <c r="H938" s="16"/>
      <c r="I938" s="17" t="str">
        <f aca="false">IF(OR(G938="",H938=""),"",H938-G938)</f>
        <v/>
      </c>
      <c r="J938" s="4"/>
      <c r="K938" s="4"/>
      <c r="L938" s="18" t="str">
        <f aca="false">IF(F938="","",IF(COUNTIF('DS XE - TAI XE'!$B$6:$B$505,F938)&gt;0,"✓ Có","Chưa có trong DS xe"))</f>
        <v/>
      </c>
    </row>
    <row r="939" customFormat="false" ht="15" hidden="false" customHeight="false" outlineLevel="0" collapsed="false">
      <c r="A939" s="12" t="str">
        <f aca="false">IF(F939="","",COUNTA($F$8:F939))</f>
        <v/>
      </c>
      <c r="B939" s="4"/>
      <c r="C939" s="13"/>
      <c r="D939" s="14"/>
      <c r="E939" s="14"/>
      <c r="F939" s="15"/>
      <c r="G939" s="16"/>
      <c r="H939" s="16"/>
      <c r="I939" s="17" t="str">
        <f aca="false">IF(OR(G939="",H939=""),"",H939-G939)</f>
        <v/>
      </c>
      <c r="J939" s="4"/>
      <c r="K939" s="4"/>
      <c r="L939" s="18" t="str">
        <f aca="false">IF(F939="","",IF(COUNTIF('DS XE - TAI XE'!$B$6:$B$505,F939)&gt;0,"✓ Có","Chưa có trong DS xe"))</f>
        <v/>
      </c>
    </row>
    <row r="940" customFormat="false" ht="15" hidden="false" customHeight="false" outlineLevel="0" collapsed="false">
      <c r="A940" s="12" t="str">
        <f aca="false">IF(F940="","",COUNTA($F$8:F940))</f>
        <v/>
      </c>
      <c r="B940" s="4"/>
      <c r="C940" s="13"/>
      <c r="D940" s="14"/>
      <c r="E940" s="14"/>
      <c r="F940" s="15"/>
      <c r="G940" s="16"/>
      <c r="H940" s="16"/>
      <c r="I940" s="17" t="str">
        <f aca="false">IF(OR(G940="",H940=""),"",H940-G940)</f>
        <v/>
      </c>
      <c r="J940" s="4"/>
      <c r="K940" s="4"/>
      <c r="L940" s="18" t="str">
        <f aca="false">IF(F940="","",IF(COUNTIF('DS XE - TAI XE'!$B$6:$B$505,F940)&gt;0,"✓ Có","Chưa có trong DS xe"))</f>
        <v/>
      </c>
    </row>
    <row r="941" customFormat="false" ht="15" hidden="false" customHeight="false" outlineLevel="0" collapsed="false">
      <c r="A941" s="12" t="str">
        <f aca="false">IF(F941="","",COUNTA($F$8:F941))</f>
        <v/>
      </c>
      <c r="B941" s="4"/>
      <c r="C941" s="13"/>
      <c r="D941" s="14"/>
      <c r="E941" s="14"/>
      <c r="F941" s="15"/>
      <c r="G941" s="16"/>
      <c r="H941" s="16"/>
      <c r="I941" s="17" t="str">
        <f aca="false">IF(OR(G941="",H941=""),"",H941-G941)</f>
        <v/>
      </c>
      <c r="J941" s="4"/>
      <c r="K941" s="4"/>
      <c r="L941" s="18" t="str">
        <f aca="false">IF(F941="","",IF(COUNTIF('DS XE - TAI XE'!$B$6:$B$505,F941)&gt;0,"✓ Có","Chưa có trong DS xe"))</f>
        <v/>
      </c>
    </row>
    <row r="942" customFormat="false" ht="15" hidden="false" customHeight="false" outlineLevel="0" collapsed="false">
      <c r="A942" s="12" t="str">
        <f aca="false">IF(F942="","",COUNTA($F$8:F942))</f>
        <v/>
      </c>
      <c r="B942" s="4"/>
      <c r="C942" s="13"/>
      <c r="D942" s="14"/>
      <c r="E942" s="14"/>
      <c r="F942" s="15"/>
      <c r="G942" s="16"/>
      <c r="H942" s="16"/>
      <c r="I942" s="17" t="str">
        <f aca="false">IF(OR(G942="",H942=""),"",H942-G942)</f>
        <v/>
      </c>
      <c r="J942" s="4"/>
      <c r="K942" s="4"/>
      <c r="L942" s="18" t="str">
        <f aca="false">IF(F942="","",IF(COUNTIF('DS XE - TAI XE'!$B$6:$B$505,F942)&gt;0,"✓ Có","Chưa có trong DS xe"))</f>
        <v/>
      </c>
    </row>
    <row r="943" customFormat="false" ht="15" hidden="false" customHeight="false" outlineLevel="0" collapsed="false">
      <c r="A943" s="12" t="str">
        <f aca="false">IF(F943="","",COUNTA($F$8:F943))</f>
        <v/>
      </c>
      <c r="B943" s="4"/>
      <c r="C943" s="13"/>
      <c r="D943" s="14"/>
      <c r="E943" s="14"/>
      <c r="F943" s="15"/>
      <c r="G943" s="16"/>
      <c r="H943" s="16"/>
      <c r="I943" s="17" t="str">
        <f aca="false">IF(OR(G943="",H943=""),"",H943-G943)</f>
        <v/>
      </c>
      <c r="J943" s="4"/>
      <c r="K943" s="4"/>
      <c r="L943" s="18" t="str">
        <f aca="false">IF(F943="","",IF(COUNTIF('DS XE - TAI XE'!$B$6:$B$505,F943)&gt;0,"✓ Có","Chưa có trong DS xe"))</f>
        <v/>
      </c>
    </row>
    <row r="944" customFormat="false" ht="15" hidden="false" customHeight="false" outlineLevel="0" collapsed="false">
      <c r="A944" s="12" t="str">
        <f aca="false">IF(F944="","",COUNTA($F$8:F944))</f>
        <v/>
      </c>
      <c r="B944" s="4"/>
      <c r="C944" s="13"/>
      <c r="D944" s="14"/>
      <c r="E944" s="14"/>
      <c r="F944" s="15"/>
      <c r="G944" s="16"/>
      <c r="H944" s="16"/>
      <c r="I944" s="17" t="str">
        <f aca="false">IF(OR(G944="",H944=""),"",H944-G944)</f>
        <v/>
      </c>
      <c r="J944" s="4"/>
      <c r="K944" s="4"/>
      <c r="L944" s="18" t="str">
        <f aca="false">IF(F944="","",IF(COUNTIF('DS XE - TAI XE'!$B$6:$B$505,F944)&gt;0,"✓ Có","Chưa có trong DS xe"))</f>
        <v/>
      </c>
    </row>
    <row r="945" customFormat="false" ht="15" hidden="false" customHeight="false" outlineLevel="0" collapsed="false">
      <c r="A945" s="12" t="str">
        <f aca="false">IF(F945="","",COUNTA($F$8:F945))</f>
        <v/>
      </c>
      <c r="B945" s="4"/>
      <c r="C945" s="13"/>
      <c r="D945" s="14"/>
      <c r="E945" s="14"/>
      <c r="F945" s="15"/>
      <c r="G945" s="16"/>
      <c r="H945" s="16"/>
      <c r="I945" s="17" t="str">
        <f aca="false">IF(OR(G945="",H945=""),"",H945-G945)</f>
        <v/>
      </c>
      <c r="J945" s="4"/>
      <c r="K945" s="4"/>
      <c r="L945" s="18" t="str">
        <f aca="false">IF(F945="","",IF(COUNTIF('DS XE - TAI XE'!$B$6:$B$505,F945)&gt;0,"✓ Có","Chưa có trong DS xe"))</f>
        <v/>
      </c>
    </row>
    <row r="946" customFormat="false" ht="15" hidden="false" customHeight="false" outlineLevel="0" collapsed="false">
      <c r="A946" s="12" t="str">
        <f aca="false">IF(F946="","",COUNTA($F$8:F946))</f>
        <v/>
      </c>
      <c r="B946" s="4"/>
      <c r="C946" s="13"/>
      <c r="D946" s="14"/>
      <c r="E946" s="14"/>
      <c r="F946" s="15"/>
      <c r="G946" s="16"/>
      <c r="H946" s="16"/>
      <c r="I946" s="17" t="str">
        <f aca="false">IF(OR(G946="",H946=""),"",H946-G946)</f>
        <v/>
      </c>
      <c r="J946" s="4"/>
      <c r="K946" s="4"/>
      <c r="L946" s="18" t="str">
        <f aca="false">IF(F946="","",IF(COUNTIF('DS XE - TAI XE'!$B$6:$B$505,F946)&gt;0,"✓ Có","Chưa có trong DS xe"))</f>
        <v/>
      </c>
    </row>
    <row r="947" customFormat="false" ht="15" hidden="false" customHeight="false" outlineLevel="0" collapsed="false">
      <c r="A947" s="12" t="str">
        <f aca="false">IF(F947="","",COUNTA($F$8:F947))</f>
        <v/>
      </c>
      <c r="B947" s="4"/>
      <c r="C947" s="13"/>
      <c r="D947" s="14"/>
      <c r="E947" s="14"/>
      <c r="F947" s="15"/>
      <c r="G947" s="16"/>
      <c r="H947" s="16"/>
      <c r="I947" s="17" t="str">
        <f aca="false">IF(OR(G947="",H947=""),"",H947-G947)</f>
        <v/>
      </c>
      <c r="J947" s="4"/>
      <c r="K947" s="4"/>
      <c r="L947" s="18" t="str">
        <f aca="false">IF(F947="","",IF(COUNTIF('DS XE - TAI XE'!$B$6:$B$505,F947)&gt;0,"✓ Có","Chưa có trong DS xe"))</f>
        <v/>
      </c>
    </row>
    <row r="948" customFormat="false" ht="15" hidden="false" customHeight="false" outlineLevel="0" collapsed="false">
      <c r="A948" s="12" t="str">
        <f aca="false">IF(F948="","",COUNTA($F$8:F948))</f>
        <v/>
      </c>
      <c r="B948" s="4"/>
      <c r="C948" s="13"/>
      <c r="D948" s="14"/>
      <c r="E948" s="14"/>
      <c r="F948" s="15"/>
      <c r="G948" s="16"/>
      <c r="H948" s="16"/>
      <c r="I948" s="17" t="str">
        <f aca="false">IF(OR(G948="",H948=""),"",H948-G948)</f>
        <v/>
      </c>
      <c r="J948" s="4"/>
      <c r="K948" s="4"/>
      <c r="L948" s="18" t="str">
        <f aca="false">IF(F948="","",IF(COUNTIF('DS XE - TAI XE'!$B$6:$B$505,F948)&gt;0,"✓ Có","Chưa có trong DS xe"))</f>
        <v/>
      </c>
    </row>
    <row r="949" customFormat="false" ht="15" hidden="false" customHeight="false" outlineLevel="0" collapsed="false">
      <c r="A949" s="12" t="str">
        <f aca="false">IF(F949="","",COUNTA($F$8:F949))</f>
        <v/>
      </c>
      <c r="B949" s="4"/>
      <c r="C949" s="13"/>
      <c r="D949" s="14"/>
      <c r="E949" s="14"/>
      <c r="F949" s="15"/>
      <c r="G949" s="16"/>
      <c r="H949" s="16"/>
      <c r="I949" s="17" t="str">
        <f aca="false">IF(OR(G949="",H949=""),"",H949-G949)</f>
        <v/>
      </c>
      <c r="J949" s="4"/>
      <c r="K949" s="4"/>
      <c r="L949" s="18" t="str">
        <f aca="false">IF(F949="","",IF(COUNTIF('DS XE - TAI XE'!$B$6:$B$505,F949)&gt;0,"✓ Có","Chưa có trong DS xe"))</f>
        <v/>
      </c>
    </row>
    <row r="950" customFormat="false" ht="15" hidden="false" customHeight="false" outlineLevel="0" collapsed="false">
      <c r="A950" s="12" t="str">
        <f aca="false">IF(F950="","",COUNTA($F$8:F950))</f>
        <v/>
      </c>
      <c r="B950" s="4"/>
      <c r="C950" s="13"/>
      <c r="D950" s="14"/>
      <c r="E950" s="14"/>
      <c r="F950" s="15"/>
      <c r="G950" s="16"/>
      <c r="H950" s="16"/>
      <c r="I950" s="17" t="str">
        <f aca="false">IF(OR(G950="",H950=""),"",H950-G950)</f>
        <v/>
      </c>
      <c r="J950" s="4"/>
      <c r="K950" s="4"/>
      <c r="L950" s="18" t="str">
        <f aca="false">IF(F950="","",IF(COUNTIF('DS XE - TAI XE'!$B$6:$B$505,F950)&gt;0,"✓ Có","Chưa có trong DS xe"))</f>
        <v/>
      </c>
    </row>
    <row r="951" customFormat="false" ht="15" hidden="false" customHeight="false" outlineLevel="0" collapsed="false">
      <c r="A951" s="12" t="str">
        <f aca="false">IF(F951="","",COUNTA($F$8:F951))</f>
        <v/>
      </c>
      <c r="B951" s="4"/>
      <c r="C951" s="13"/>
      <c r="D951" s="14"/>
      <c r="E951" s="14"/>
      <c r="F951" s="15"/>
      <c r="G951" s="16"/>
      <c r="H951" s="16"/>
      <c r="I951" s="17" t="str">
        <f aca="false">IF(OR(G951="",H951=""),"",H951-G951)</f>
        <v/>
      </c>
      <c r="J951" s="4"/>
      <c r="K951" s="4"/>
      <c r="L951" s="18" t="str">
        <f aca="false">IF(F951="","",IF(COUNTIF('DS XE - TAI XE'!$B$6:$B$505,F951)&gt;0,"✓ Có","Chưa có trong DS xe"))</f>
        <v/>
      </c>
    </row>
    <row r="952" customFormat="false" ht="15" hidden="false" customHeight="false" outlineLevel="0" collapsed="false">
      <c r="A952" s="12" t="str">
        <f aca="false">IF(F952="","",COUNTA($F$8:F952))</f>
        <v/>
      </c>
      <c r="B952" s="4"/>
      <c r="C952" s="13"/>
      <c r="D952" s="14"/>
      <c r="E952" s="14"/>
      <c r="F952" s="15"/>
      <c r="G952" s="16"/>
      <c r="H952" s="16"/>
      <c r="I952" s="17" t="str">
        <f aca="false">IF(OR(G952="",H952=""),"",H952-G952)</f>
        <v/>
      </c>
      <c r="J952" s="4"/>
      <c r="K952" s="4"/>
      <c r="L952" s="18" t="str">
        <f aca="false">IF(F952="","",IF(COUNTIF('DS XE - TAI XE'!$B$6:$B$505,F952)&gt;0,"✓ Có","Chưa có trong DS xe"))</f>
        <v/>
      </c>
    </row>
    <row r="953" customFormat="false" ht="15" hidden="false" customHeight="false" outlineLevel="0" collapsed="false">
      <c r="A953" s="12" t="str">
        <f aca="false">IF(F953="","",COUNTA($F$8:F953))</f>
        <v/>
      </c>
      <c r="B953" s="4"/>
      <c r="C953" s="13"/>
      <c r="D953" s="14"/>
      <c r="E953" s="14"/>
      <c r="F953" s="15"/>
      <c r="G953" s="16"/>
      <c r="H953" s="16"/>
      <c r="I953" s="17" t="str">
        <f aca="false">IF(OR(G953="",H953=""),"",H953-G953)</f>
        <v/>
      </c>
      <c r="J953" s="4"/>
      <c r="K953" s="4"/>
      <c r="L953" s="18" t="str">
        <f aca="false">IF(F953="","",IF(COUNTIF('DS XE - TAI XE'!$B$6:$B$505,F953)&gt;0,"✓ Có","Chưa có trong DS xe"))</f>
        <v/>
      </c>
    </row>
    <row r="954" customFormat="false" ht="15" hidden="false" customHeight="false" outlineLevel="0" collapsed="false">
      <c r="A954" s="12" t="str">
        <f aca="false">IF(F954="","",COUNTA($F$8:F954))</f>
        <v/>
      </c>
      <c r="B954" s="4"/>
      <c r="C954" s="13"/>
      <c r="D954" s="14"/>
      <c r="E954" s="14"/>
      <c r="F954" s="15"/>
      <c r="G954" s="16"/>
      <c r="H954" s="16"/>
      <c r="I954" s="17" t="str">
        <f aca="false">IF(OR(G954="",H954=""),"",H954-G954)</f>
        <v/>
      </c>
      <c r="J954" s="4"/>
      <c r="K954" s="4"/>
      <c r="L954" s="18" t="str">
        <f aca="false">IF(F954="","",IF(COUNTIF('DS XE - TAI XE'!$B$6:$B$505,F954)&gt;0,"✓ Có","Chưa có trong DS xe"))</f>
        <v/>
      </c>
    </row>
    <row r="955" customFormat="false" ht="15" hidden="false" customHeight="false" outlineLevel="0" collapsed="false">
      <c r="A955" s="12" t="str">
        <f aca="false">IF(F955="","",COUNTA($F$8:F955))</f>
        <v/>
      </c>
      <c r="B955" s="4"/>
      <c r="C955" s="13"/>
      <c r="D955" s="14"/>
      <c r="E955" s="14"/>
      <c r="F955" s="15"/>
      <c r="G955" s="16"/>
      <c r="H955" s="16"/>
      <c r="I955" s="17" t="str">
        <f aca="false">IF(OR(G955="",H955=""),"",H955-G955)</f>
        <v/>
      </c>
      <c r="J955" s="4"/>
      <c r="K955" s="4"/>
      <c r="L955" s="18" t="str">
        <f aca="false">IF(F955="","",IF(COUNTIF('DS XE - TAI XE'!$B$6:$B$505,F955)&gt;0,"✓ Có","Chưa có trong DS xe"))</f>
        <v/>
      </c>
    </row>
    <row r="956" customFormat="false" ht="15" hidden="false" customHeight="false" outlineLevel="0" collapsed="false">
      <c r="A956" s="12" t="str">
        <f aca="false">IF(F956="","",COUNTA($F$8:F956))</f>
        <v/>
      </c>
      <c r="B956" s="4"/>
      <c r="C956" s="13"/>
      <c r="D956" s="14"/>
      <c r="E956" s="14"/>
      <c r="F956" s="15"/>
      <c r="G956" s="16"/>
      <c r="H956" s="16"/>
      <c r="I956" s="17" t="str">
        <f aca="false">IF(OR(G956="",H956=""),"",H956-G956)</f>
        <v/>
      </c>
      <c r="J956" s="4"/>
      <c r="K956" s="4"/>
      <c r="L956" s="18" t="str">
        <f aca="false">IF(F956="","",IF(COUNTIF('DS XE - TAI XE'!$B$6:$B$505,F956)&gt;0,"✓ Có","Chưa có trong DS xe"))</f>
        <v/>
      </c>
    </row>
    <row r="957" customFormat="false" ht="15" hidden="false" customHeight="false" outlineLevel="0" collapsed="false">
      <c r="A957" s="12" t="str">
        <f aca="false">IF(F957="","",COUNTA($F$8:F957))</f>
        <v/>
      </c>
      <c r="B957" s="4"/>
      <c r="C957" s="13"/>
      <c r="D957" s="14"/>
      <c r="E957" s="14"/>
      <c r="F957" s="15"/>
      <c r="G957" s="16"/>
      <c r="H957" s="16"/>
      <c r="I957" s="17" t="str">
        <f aca="false">IF(OR(G957="",H957=""),"",H957-G957)</f>
        <v/>
      </c>
      <c r="J957" s="4"/>
      <c r="K957" s="4"/>
      <c r="L957" s="18" t="str">
        <f aca="false">IF(F957="","",IF(COUNTIF('DS XE - TAI XE'!$B$6:$B$505,F957)&gt;0,"✓ Có","Chưa có trong DS xe"))</f>
        <v/>
      </c>
    </row>
    <row r="958" customFormat="false" ht="15" hidden="false" customHeight="false" outlineLevel="0" collapsed="false">
      <c r="A958" s="12" t="str">
        <f aca="false">IF(F958="","",COUNTA($F$8:F958))</f>
        <v/>
      </c>
      <c r="B958" s="4"/>
      <c r="C958" s="13"/>
      <c r="D958" s="14"/>
      <c r="E958" s="14"/>
      <c r="F958" s="15"/>
      <c r="G958" s="16"/>
      <c r="H958" s="16"/>
      <c r="I958" s="17" t="str">
        <f aca="false">IF(OR(G958="",H958=""),"",H958-G958)</f>
        <v/>
      </c>
      <c r="J958" s="4"/>
      <c r="K958" s="4"/>
      <c r="L958" s="18" t="str">
        <f aca="false">IF(F958="","",IF(COUNTIF('DS XE - TAI XE'!$B$6:$B$505,F958)&gt;0,"✓ Có","Chưa có trong DS xe"))</f>
        <v/>
      </c>
    </row>
    <row r="959" customFormat="false" ht="15" hidden="false" customHeight="false" outlineLevel="0" collapsed="false">
      <c r="A959" s="12" t="str">
        <f aca="false">IF(F959="","",COUNTA($F$8:F959))</f>
        <v/>
      </c>
      <c r="B959" s="4"/>
      <c r="C959" s="13"/>
      <c r="D959" s="14"/>
      <c r="E959" s="14"/>
      <c r="F959" s="15"/>
      <c r="G959" s="16"/>
      <c r="H959" s="16"/>
      <c r="I959" s="17" t="str">
        <f aca="false">IF(OR(G959="",H959=""),"",H959-G959)</f>
        <v/>
      </c>
      <c r="J959" s="4"/>
      <c r="K959" s="4"/>
      <c r="L959" s="18" t="str">
        <f aca="false">IF(F959="","",IF(COUNTIF('DS XE - TAI XE'!$B$6:$B$505,F959)&gt;0,"✓ Có","Chưa có trong DS xe"))</f>
        <v/>
      </c>
    </row>
    <row r="960" customFormat="false" ht="15" hidden="false" customHeight="false" outlineLevel="0" collapsed="false">
      <c r="A960" s="12" t="str">
        <f aca="false">IF(F960="","",COUNTA($F$8:F960))</f>
        <v/>
      </c>
      <c r="B960" s="4"/>
      <c r="C960" s="13"/>
      <c r="D960" s="14"/>
      <c r="E960" s="14"/>
      <c r="F960" s="15"/>
      <c r="G960" s="16"/>
      <c r="H960" s="16"/>
      <c r="I960" s="17" t="str">
        <f aca="false">IF(OR(G960="",H960=""),"",H960-G960)</f>
        <v/>
      </c>
      <c r="J960" s="4"/>
      <c r="K960" s="4"/>
      <c r="L960" s="18" t="str">
        <f aca="false">IF(F960="","",IF(COUNTIF('DS XE - TAI XE'!$B$6:$B$505,F960)&gt;0,"✓ Có","Chưa có trong DS xe"))</f>
        <v/>
      </c>
    </row>
    <row r="961" customFormat="false" ht="15" hidden="false" customHeight="false" outlineLevel="0" collapsed="false">
      <c r="A961" s="12" t="str">
        <f aca="false">IF(F961="","",COUNTA($F$8:F961))</f>
        <v/>
      </c>
      <c r="B961" s="4"/>
      <c r="C961" s="13"/>
      <c r="D961" s="14"/>
      <c r="E961" s="14"/>
      <c r="F961" s="15"/>
      <c r="G961" s="16"/>
      <c r="H961" s="16"/>
      <c r="I961" s="17" t="str">
        <f aca="false">IF(OR(G961="",H961=""),"",H961-G961)</f>
        <v/>
      </c>
      <c r="J961" s="4"/>
      <c r="K961" s="4"/>
      <c r="L961" s="18" t="str">
        <f aca="false">IF(F961="","",IF(COUNTIF('DS XE - TAI XE'!$B$6:$B$505,F961)&gt;0,"✓ Có","Chưa có trong DS xe"))</f>
        <v/>
      </c>
    </row>
    <row r="962" customFormat="false" ht="15" hidden="false" customHeight="false" outlineLevel="0" collapsed="false">
      <c r="A962" s="12" t="str">
        <f aca="false">IF(F962="","",COUNTA($F$8:F962))</f>
        <v/>
      </c>
      <c r="B962" s="4"/>
      <c r="C962" s="13"/>
      <c r="D962" s="14"/>
      <c r="E962" s="14"/>
      <c r="F962" s="15"/>
      <c r="G962" s="16"/>
      <c r="H962" s="16"/>
      <c r="I962" s="17" t="str">
        <f aca="false">IF(OR(G962="",H962=""),"",H962-G962)</f>
        <v/>
      </c>
      <c r="J962" s="4"/>
      <c r="K962" s="4"/>
      <c r="L962" s="18" t="str">
        <f aca="false">IF(F962="","",IF(COUNTIF('DS XE - TAI XE'!$B$6:$B$505,F962)&gt;0,"✓ Có","Chưa có trong DS xe"))</f>
        <v/>
      </c>
    </row>
    <row r="963" customFormat="false" ht="15" hidden="false" customHeight="false" outlineLevel="0" collapsed="false">
      <c r="A963" s="12" t="str">
        <f aca="false">IF(F963="","",COUNTA($F$8:F963))</f>
        <v/>
      </c>
      <c r="B963" s="4"/>
      <c r="C963" s="13"/>
      <c r="D963" s="14"/>
      <c r="E963" s="14"/>
      <c r="F963" s="15"/>
      <c r="G963" s="16"/>
      <c r="H963" s="16"/>
      <c r="I963" s="17" t="str">
        <f aca="false">IF(OR(G963="",H963=""),"",H963-G963)</f>
        <v/>
      </c>
      <c r="J963" s="4"/>
      <c r="K963" s="4"/>
      <c r="L963" s="18" t="str">
        <f aca="false">IF(F963="","",IF(COUNTIF('DS XE - TAI XE'!$B$6:$B$505,F963)&gt;0,"✓ Có","Chưa có trong DS xe"))</f>
        <v/>
      </c>
    </row>
    <row r="964" customFormat="false" ht="15" hidden="false" customHeight="false" outlineLevel="0" collapsed="false">
      <c r="A964" s="12" t="str">
        <f aca="false">IF(F964="","",COUNTA($F$8:F964))</f>
        <v/>
      </c>
      <c r="B964" s="4"/>
      <c r="C964" s="13"/>
      <c r="D964" s="14"/>
      <c r="E964" s="14"/>
      <c r="F964" s="15"/>
      <c r="G964" s="16"/>
      <c r="H964" s="16"/>
      <c r="I964" s="17" t="str">
        <f aca="false">IF(OR(G964="",H964=""),"",H964-G964)</f>
        <v/>
      </c>
      <c r="J964" s="4"/>
      <c r="K964" s="4"/>
      <c r="L964" s="18" t="str">
        <f aca="false">IF(F964="","",IF(COUNTIF('DS XE - TAI XE'!$B$6:$B$505,F964)&gt;0,"✓ Có","Chưa có trong DS xe"))</f>
        <v/>
      </c>
    </row>
    <row r="965" customFormat="false" ht="15" hidden="false" customHeight="false" outlineLevel="0" collapsed="false">
      <c r="A965" s="12" t="str">
        <f aca="false">IF(F965="","",COUNTA($F$8:F965))</f>
        <v/>
      </c>
      <c r="B965" s="4"/>
      <c r="C965" s="13"/>
      <c r="D965" s="14"/>
      <c r="E965" s="14"/>
      <c r="F965" s="15"/>
      <c r="G965" s="16"/>
      <c r="H965" s="16"/>
      <c r="I965" s="17" t="str">
        <f aca="false">IF(OR(G965="",H965=""),"",H965-G965)</f>
        <v/>
      </c>
      <c r="J965" s="4"/>
      <c r="K965" s="4"/>
      <c r="L965" s="18" t="str">
        <f aca="false">IF(F965="","",IF(COUNTIF('DS XE - TAI XE'!$B$6:$B$505,F965)&gt;0,"✓ Có","Chưa có trong DS xe"))</f>
        <v/>
      </c>
    </row>
    <row r="966" customFormat="false" ht="15" hidden="false" customHeight="false" outlineLevel="0" collapsed="false">
      <c r="A966" s="12" t="str">
        <f aca="false">IF(F966="","",COUNTA($F$8:F966))</f>
        <v/>
      </c>
      <c r="B966" s="4"/>
      <c r="C966" s="13"/>
      <c r="D966" s="14"/>
      <c r="E966" s="14"/>
      <c r="F966" s="15"/>
      <c r="G966" s="16"/>
      <c r="H966" s="16"/>
      <c r="I966" s="17" t="str">
        <f aca="false">IF(OR(G966="",H966=""),"",H966-G966)</f>
        <v/>
      </c>
      <c r="J966" s="4"/>
      <c r="K966" s="4"/>
      <c r="L966" s="18" t="str">
        <f aca="false">IF(F966="","",IF(COUNTIF('DS XE - TAI XE'!$B$6:$B$505,F966)&gt;0,"✓ Có","Chưa có trong DS xe"))</f>
        <v/>
      </c>
    </row>
    <row r="967" customFormat="false" ht="15" hidden="false" customHeight="false" outlineLevel="0" collapsed="false">
      <c r="A967" s="12" t="str">
        <f aca="false">IF(F967="","",COUNTA($F$8:F967))</f>
        <v/>
      </c>
      <c r="B967" s="4"/>
      <c r="C967" s="13"/>
      <c r="D967" s="14"/>
      <c r="E967" s="14"/>
      <c r="F967" s="15"/>
      <c r="G967" s="16"/>
      <c r="H967" s="16"/>
      <c r="I967" s="17" t="str">
        <f aca="false">IF(OR(G967="",H967=""),"",H967-G967)</f>
        <v/>
      </c>
      <c r="J967" s="4"/>
      <c r="K967" s="4"/>
      <c r="L967" s="18" t="str">
        <f aca="false">IF(F967="","",IF(COUNTIF('DS XE - TAI XE'!$B$6:$B$505,F967)&gt;0,"✓ Có","Chưa có trong DS xe"))</f>
        <v/>
      </c>
    </row>
    <row r="968" customFormat="false" ht="15" hidden="false" customHeight="false" outlineLevel="0" collapsed="false">
      <c r="A968" s="12" t="str">
        <f aca="false">IF(F968="","",COUNTA($F$8:F968))</f>
        <v/>
      </c>
      <c r="B968" s="4"/>
      <c r="C968" s="13"/>
      <c r="D968" s="14"/>
      <c r="E968" s="14"/>
      <c r="F968" s="15"/>
      <c r="G968" s="16"/>
      <c r="H968" s="16"/>
      <c r="I968" s="17" t="str">
        <f aca="false">IF(OR(G968="",H968=""),"",H968-G968)</f>
        <v/>
      </c>
      <c r="J968" s="4"/>
      <c r="K968" s="4"/>
      <c r="L968" s="18" t="str">
        <f aca="false">IF(F968="","",IF(COUNTIF('DS XE - TAI XE'!$B$6:$B$505,F968)&gt;0,"✓ Có","Chưa có trong DS xe"))</f>
        <v/>
      </c>
    </row>
    <row r="969" customFormat="false" ht="15" hidden="false" customHeight="false" outlineLevel="0" collapsed="false">
      <c r="A969" s="12" t="str">
        <f aca="false">IF(F969="","",COUNTA($F$8:F969))</f>
        <v/>
      </c>
      <c r="B969" s="4"/>
      <c r="C969" s="13"/>
      <c r="D969" s="14"/>
      <c r="E969" s="14"/>
      <c r="F969" s="15"/>
      <c r="G969" s="16"/>
      <c r="H969" s="16"/>
      <c r="I969" s="17" t="str">
        <f aca="false">IF(OR(G969="",H969=""),"",H969-G969)</f>
        <v/>
      </c>
      <c r="J969" s="4"/>
      <c r="K969" s="4"/>
      <c r="L969" s="18" t="str">
        <f aca="false">IF(F969="","",IF(COUNTIF('DS XE - TAI XE'!$B$6:$B$505,F969)&gt;0,"✓ Có","Chưa có trong DS xe"))</f>
        <v/>
      </c>
    </row>
    <row r="970" customFormat="false" ht="15" hidden="false" customHeight="false" outlineLevel="0" collapsed="false">
      <c r="A970" s="12" t="str">
        <f aca="false">IF(F970="","",COUNTA($F$8:F970))</f>
        <v/>
      </c>
      <c r="B970" s="4"/>
      <c r="C970" s="13"/>
      <c r="D970" s="14"/>
      <c r="E970" s="14"/>
      <c r="F970" s="15"/>
      <c r="G970" s="16"/>
      <c r="H970" s="16"/>
      <c r="I970" s="17" t="str">
        <f aca="false">IF(OR(G970="",H970=""),"",H970-G970)</f>
        <v/>
      </c>
      <c r="J970" s="4"/>
      <c r="K970" s="4"/>
      <c r="L970" s="18" t="str">
        <f aca="false">IF(F970="","",IF(COUNTIF('DS XE - TAI XE'!$B$6:$B$505,F970)&gt;0,"✓ Có","Chưa có trong DS xe"))</f>
        <v/>
      </c>
    </row>
    <row r="971" customFormat="false" ht="15" hidden="false" customHeight="false" outlineLevel="0" collapsed="false">
      <c r="A971" s="12" t="str">
        <f aca="false">IF(F971="","",COUNTA($F$8:F971))</f>
        <v/>
      </c>
      <c r="B971" s="4"/>
      <c r="C971" s="13"/>
      <c r="D971" s="14"/>
      <c r="E971" s="14"/>
      <c r="F971" s="15"/>
      <c r="G971" s="16"/>
      <c r="H971" s="16"/>
      <c r="I971" s="17" t="str">
        <f aca="false">IF(OR(G971="",H971=""),"",H971-G971)</f>
        <v/>
      </c>
      <c r="J971" s="4"/>
      <c r="K971" s="4"/>
      <c r="L971" s="18" t="str">
        <f aca="false">IF(F971="","",IF(COUNTIF('DS XE - TAI XE'!$B$6:$B$505,F971)&gt;0,"✓ Có","Chưa có trong DS xe"))</f>
        <v/>
      </c>
    </row>
    <row r="972" customFormat="false" ht="15" hidden="false" customHeight="false" outlineLevel="0" collapsed="false">
      <c r="A972" s="12" t="str">
        <f aca="false">IF(F972="","",COUNTA($F$8:F972))</f>
        <v/>
      </c>
      <c r="B972" s="4"/>
      <c r="C972" s="13"/>
      <c r="D972" s="14"/>
      <c r="E972" s="14"/>
      <c r="F972" s="15"/>
      <c r="G972" s="16"/>
      <c r="H972" s="16"/>
      <c r="I972" s="17" t="str">
        <f aca="false">IF(OR(G972="",H972=""),"",H972-G972)</f>
        <v/>
      </c>
      <c r="J972" s="4"/>
      <c r="K972" s="4"/>
      <c r="L972" s="18" t="str">
        <f aca="false">IF(F972="","",IF(COUNTIF('DS XE - TAI XE'!$B$6:$B$505,F972)&gt;0,"✓ Có","Chưa có trong DS xe"))</f>
        <v/>
      </c>
    </row>
    <row r="973" customFormat="false" ht="15" hidden="false" customHeight="false" outlineLevel="0" collapsed="false">
      <c r="A973" s="12" t="str">
        <f aca="false">IF(F973="","",COUNTA($F$8:F973))</f>
        <v/>
      </c>
      <c r="B973" s="4"/>
      <c r="C973" s="13"/>
      <c r="D973" s="14"/>
      <c r="E973" s="14"/>
      <c r="F973" s="15"/>
      <c r="G973" s="16"/>
      <c r="H973" s="16"/>
      <c r="I973" s="17" t="str">
        <f aca="false">IF(OR(G973="",H973=""),"",H973-G973)</f>
        <v/>
      </c>
      <c r="J973" s="4"/>
      <c r="K973" s="4"/>
      <c r="L973" s="18" t="str">
        <f aca="false">IF(F973="","",IF(COUNTIF('DS XE - TAI XE'!$B$6:$B$505,F973)&gt;0,"✓ Có","Chưa có trong DS xe"))</f>
        <v/>
      </c>
    </row>
    <row r="974" customFormat="false" ht="15" hidden="false" customHeight="false" outlineLevel="0" collapsed="false">
      <c r="A974" s="12" t="str">
        <f aca="false">IF(F974="","",COUNTA($F$8:F974))</f>
        <v/>
      </c>
      <c r="B974" s="4"/>
      <c r="C974" s="13"/>
      <c r="D974" s="14"/>
      <c r="E974" s="14"/>
      <c r="F974" s="15"/>
      <c r="G974" s="16"/>
      <c r="H974" s="16"/>
      <c r="I974" s="17" t="str">
        <f aca="false">IF(OR(G974="",H974=""),"",H974-G974)</f>
        <v/>
      </c>
      <c r="J974" s="4"/>
      <c r="K974" s="4"/>
      <c r="L974" s="18" t="str">
        <f aca="false">IF(F974="","",IF(COUNTIF('DS XE - TAI XE'!$B$6:$B$505,F974)&gt;0,"✓ Có","Chưa có trong DS xe"))</f>
        <v/>
      </c>
    </row>
    <row r="975" customFormat="false" ht="15" hidden="false" customHeight="false" outlineLevel="0" collapsed="false">
      <c r="A975" s="12" t="str">
        <f aca="false">IF(F975="","",COUNTA($F$8:F975))</f>
        <v/>
      </c>
      <c r="B975" s="4"/>
      <c r="C975" s="13"/>
      <c r="D975" s="14"/>
      <c r="E975" s="14"/>
      <c r="F975" s="15"/>
      <c r="G975" s="16"/>
      <c r="H975" s="16"/>
      <c r="I975" s="17" t="str">
        <f aca="false">IF(OR(G975="",H975=""),"",H975-G975)</f>
        <v/>
      </c>
      <c r="J975" s="4"/>
      <c r="K975" s="4"/>
      <c r="L975" s="18" t="str">
        <f aca="false">IF(F975="","",IF(COUNTIF('DS XE - TAI XE'!$B$6:$B$505,F975)&gt;0,"✓ Có","Chưa có trong DS xe"))</f>
        <v/>
      </c>
    </row>
    <row r="976" customFormat="false" ht="15" hidden="false" customHeight="false" outlineLevel="0" collapsed="false">
      <c r="A976" s="12" t="str">
        <f aca="false">IF(F976="","",COUNTA($F$8:F976))</f>
        <v/>
      </c>
      <c r="B976" s="4"/>
      <c r="C976" s="13"/>
      <c r="D976" s="14"/>
      <c r="E976" s="14"/>
      <c r="F976" s="15"/>
      <c r="G976" s="16"/>
      <c r="H976" s="16"/>
      <c r="I976" s="17" t="str">
        <f aca="false">IF(OR(G976="",H976=""),"",H976-G976)</f>
        <v/>
      </c>
      <c r="J976" s="4"/>
      <c r="K976" s="4"/>
      <c r="L976" s="18" t="str">
        <f aca="false">IF(F976="","",IF(COUNTIF('DS XE - TAI XE'!$B$6:$B$505,F976)&gt;0,"✓ Có","Chưa có trong DS xe"))</f>
        <v/>
      </c>
    </row>
    <row r="977" customFormat="false" ht="15" hidden="false" customHeight="false" outlineLevel="0" collapsed="false">
      <c r="A977" s="12" t="str">
        <f aca="false">IF(F977="","",COUNTA($F$8:F977))</f>
        <v/>
      </c>
      <c r="B977" s="4"/>
      <c r="C977" s="13"/>
      <c r="D977" s="14"/>
      <c r="E977" s="14"/>
      <c r="F977" s="15"/>
      <c r="G977" s="16"/>
      <c r="H977" s="16"/>
      <c r="I977" s="17" t="str">
        <f aca="false">IF(OR(G977="",H977=""),"",H977-G977)</f>
        <v/>
      </c>
      <c r="J977" s="4"/>
      <c r="K977" s="4"/>
      <c r="L977" s="18" t="str">
        <f aca="false">IF(F977="","",IF(COUNTIF('DS XE - TAI XE'!$B$6:$B$505,F977)&gt;0,"✓ Có","Chưa có trong DS xe"))</f>
        <v/>
      </c>
    </row>
    <row r="978" customFormat="false" ht="15" hidden="false" customHeight="false" outlineLevel="0" collapsed="false">
      <c r="A978" s="12" t="str">
        <f aca="false">IF(F978="","",COUNTA($F$8:F978))</f>
        <v/>
      </c>
      <c r="B978" s="4"/>
      <c r="C978" s="13"/>
      <c r="D978" s="14"/>
      <c r="E978" s="14"/>
      <c r="F978" s="15"/>
      <c r="G978" s="16"/>
      <c r="H978" s="16"/>
      <c r="I978" s="17" t="str">
        <f aca="false">IF(OR(G978="",H978=""),"",H978-G978)</f>
        <v/>
      </c>
      <c r="J978" s="4"/>
      <c r="K978" s="4"/>
      <c r="L978" s="18" t="str">
        <f aca="false">IF(F978="","",IF(COUNTIF('DS XE - TAI XE'!$B$6:$B$505,F978)&gt;0,"✓ Có","Chưa có trong DS xe"))</f>
        <v/>
      </c>
    </row>
    <row r="979" customFormat="false" ht="15" hidden="false" customHeight="false" outlineLevel="0" collapsed="false">
      <c r="A979" s="12" t="str">
        <f aca="false">IF(F979="","",COUNTA($F$8:F979))</f>
        <v/>
      </c>
      <c r="B979" s="4"/>
      <c r="C979" s="13"/>
      <c r="D979" s="14"/>
      <c r="E979" s="14"/>
      <c r="F979" s="15"/>
      <c r="G979" s="16"/>
      <c r="H979" s="16"/>
      <c r="I979" s="17" t="str">
        <f aca="false">IF(OR(G979="",H979=""),"",H979-G979)</f>
        <v/>
      </c>
      <c r="J979" s="4"/>
      <c r="K979" s="4"/>
      <c r="L979" s="18" t="str">
        <f aca="false">IF(F979="","",IF(COUNTIF('DS XE - TAI XE'!$B$6:$B$505,F979)&gt;0,"✓ Có","Chưa có trong DS xe"))</f>
        <v/>
      </c>
    </row>
    <row r="980" customFormat="false" ht="15" hidden="false" customHeight="false" outlineLevel="0" collapsed="false">
      <c r="A980" s="12" t="str">
        <f aca="false">IF(F980="","",COUNTA($F$8:F980))</f>
        <v/>
      </c>
      <c r="B980" s="4"/>
      <c r="C980" s="13"/>
      <c r="D980" s="14"/>
      <c r="E980" s="14"/>
      <c r="F980" s="15"/>
      <c r="G980" s="16"/>
      <c r="H980" s="16"/>
      <c r="I980" s="17" t="str">
        <f aca="false">IF(OR(G980="",H980=""),"",H980-G980)</f>
        <v/>
      </c>
      <c r="J980" s="4"/>
      <c r="K980" s="4"/>
      <c r="L980" s="18" t="str">
        <f aca="false">IF(F980="","",IF(COUNTIF('DS XE - TAI XE'!$B$6:$B$505,F980)&gt;0,"✓ Có","Chưa có trong DS xe"))</f>
        <v/>
      </c>
    </row>
    <row r="981" customFormat="false" ht="15" hidden="false" customHeight="false" outlineLevel="0" collapsed="false">
      <c r="A981" s="12" t="str">
        <f aca="false">IF(F981="","",COUNTA($F$8:F981))</f>
        <v/>
      </c>
      <c r="B981" s="4"/>
      <c r="C981" s="13"/>
      <c r="D981" s="14"/>
      <c r="E981" s="14"/>
      <c r="F981" s="15"/>
      <c r="G981" s="16"/>
      <c r="H981" s="16"/>
      <c r="I981" s="17" t="str">
        <f aca="false">IF(OR(G981="",H981=""),"",H981-G981)</f>
        <v/>
      </c>
      <c r="J981" s="4"/>
      <c r="K981" s="4"/>
      <c r="L981" s="18" t="str">
        <f aca="false">IF(F981="","",IF(COUNTIF('DS XE - TAI XE'!$B$6:$B$505,F981)&gt;0,"✓ Có","Chưa có trong DS xe"))</f>
        <v/>
      </c>
    </row>
    <row r="982" customFormat="false" ht="15" hidden="false" customHeight="false" outlineLevel="0" collapsed="false">
      <c r="A982" s="12" t="str">
        <f aca="false">IF(F982="","",COUNTA($F$8:F982))</f>
        <v/>
      </c>
      <c r="B982" s="4"/>
      <c r="C982" s="13"/>
      <c r="D982" s="14"/>
      <c r="E982" s="14"/>
      <c r="F982" s="15"/>
      <c r="G982" s="16"/>
      <c r="H982" s="16"/>
      <c r="I982" s="17" t="str">
        <f aca="false">IF(OR(G982="",H982=""),"",H982-G982)</f>
        <v/>
      </c>
      <c r="J982" s="4"/>
      <c r="K982" s="4"/>
      <c r="L982" s="18" t="str">
        <f aca="false">IF(F982="","",IF(COUNTIF('DS XE - TAI XE'!$B$6:$B$505,F982)&gt;0,"✓ Có","Chưa có trong DS xe"))</f>
        <v/>
      </c>
    </row>
    <row r="983" customFormat="false" ht="15" hidden="false" customHeight="false" outlineLevel="0" collapsed="false">
      <c r="A983" s="12" t="str">
        <f aca="false">IF(F983="","",COUNTA($F$8:F983))</f>
        <v/>
      </c>
      <c r="B983" s="4"/>
      <c r="C983" s="13"/>
      <c r="D983" s="14"/>
      <c r="E983" s="14"/>
      <c r="F983" s="15"/>
      <c r="G983" s="16"/>
      <c r="H983" s="16"/>
      <c r="I983" s="17" t="str">
        <f aca="false">IF(OR(G983="",H983=""),"",H983-G983)</f>
        <v/>
      </c>
      <c r="J983" s="4"/>
      <c r="K983" s="4"/>
      <c r="L983" s="18" t="str">
        <f aca="false">IF(F983="","",IF(COUNTIF('DS XE - TAI XE'!$B$6:$B$505,F983)&gt;0,"✓ Có","Chưa có trong DS xe"))</f>
        <v/>
      </c>
    </row>
    <row r="984" customFormat="false" ht="15" hidden="false" customHeight="false" outlineLevel="0" collapsed="false">
      <c r="A984" s="12" t="str">
        <f aca="false">IF(F984="","",COUNTA($F$8:F984))</f>
        <v/>
      </c>
      <c r="B984" s="4"/>
      <c r="C984" s="13"/>
      <c r="D984" s="14"/>
      <c r="E984" s="14"/>
      <c r="F984" s="15"/>
      <c r="G984" s="16"/>
      <c r="H984" s="16"/>
      <c r="I984" s="17" t="str">
        <f aca="false">IF(OR(G984="",H984=""),"",H984-G984)</f>
        <v/>
      </c>
      <c r="J984" s="4"/>
      <c r="K984" s="4"/>
      <c r="L984" s="18" t="str">
        <f aca="false">IF(F984="","",IF(COUNTIF('DS XE - TAI XE'!$B$6:$B$505,F984)&gt;0,"✓ Có","Chưa có trong DS xe"))</f>
        <v/>
      </c>
    </row>
    <row r="985" customFormat="false" ht="15" hidden="false" customHeight="false" outlineLevel="0" collapsed="false">
      <c r="A985" s="12" t="str">
        <f aca="false">IF(F985="","",COUNTA($F$8:F985))</f>
        <v/>
      </c>
      <c r="B985" s="4"/>
      <c r="C985" s="13"/>
      <c r="D985" s="14"/>
      <c r="E985" s="14"/>
      <c r="F985" s="15"/>
      <c r="G985" s="16"/>
      <c r="H985" s="16"/>
      <c r="I985" s="17" t="str">
        <f aca="false">IF(OR(G985="",H985=""),"",H985-G985)</f>
        <v/>
      </c>
      <c r="J985" s="4"/>
      <c r="K985" s="4"/>
      <c r="L985" s="18" t="str">
        <f aca="false">IF(F985="","",IF(COUNTIF('DS XE - TAI XE'!$B$6:$B$505,F985)&gt;0,"✓ Có","Chưa có trong DS xe"))</f>
        <v/>
      </c>
    </row>
    <row r="986" customFormat="false" ht="15" hidden="false" customHeight="false" outlineLevel="0" collapsed="false">
      <c r="A986" s="12" t="str">
        <f aca="false">IF(F986="","",COUNTA($F$8:F986))</f>
        <v/>
      </c>
      <c r="B986" s="4"/>
      <c r="C986" s="13"/>
      <c r="D986" s="14"/>
      <c r="E986" s="14"/>
      <c r="F986" s="15"/>
      <c r="G986" s="16"/>
      <c r="H986" s="16"/>
      <c r="I986" s="17" t="str">
        <f aca="false">IF(OR(G986="",H986=""),"",H986-G986)</f>
        <v/>
      </c>
      <c r="J986" s="4"/>
      <c r="K986" s="4"/>
      <c r="L986" s="18" t="str">
        <f aca="false">IF(F986="","",IF(COUNTIF('DS XE - TAI XE'!$B$6:$B$505,F986)&gt;0,"✓ Có","Chưa có trong DS xe"))</f>
        <v/>
      </c>
    </row>
    <row r="987" customFormat="false" ht="15" hidden="false" customHeight="false" outlineLevel="0" collapsed="false">
      <c r="A987" s="12" t="str">
        <f aca="false">IF(F987="","",COUNTA($F$8:F987))</f>
        <v/>
      </c>
      <c r="B987" s="4"/>
      <c r="C987" s="13"/>
      <c r="D987" s="14"/>
      <c r="E987" s="14"/>
      <c r="F987" s="15"/>
      <c r="G987" s="16"/>
      <c r="H987" s="16"/>
      <c r="I987" s="17" t="str">
        <f aca="false">IF(OR(G987="",H987=""),"",H987-G987)</f>
        <v/>
      </c>
      <c r="J987" s="4"/>
      <c r="K987" s="4"/>
      <c r="L987" s="18" t="str">
        <f aca="false">IF(F987="","",IF(COUNTIF('DS XE - TAI XE'!$B$6:$B$505,F987)&gt;0,"✓ Có","Chưa có trong DS xe"))</f>
        <v/>
      </c>
    </row>
    <row r="988" customFormat="false" ht="15" hidden="false" customHeight="false" outlineLevel="0" collapsed="false">
      <c r="A988" s="12" t="str">
        <f aca="false">IF(F988="","",COUNTA($F$8:F988))</f>
        <v/>
      </c>
      <c r="B988" s="4"/>
      <c r="C988" s="13"/>
      <c r="D988" s="14"/>
      <c r="E988" s="14"/>
      <c r="F988" s="15"/>
      <c r="G988" s="16"/>
      <c r="H988" s="16"/>
      <c r="I988" s="17" t="str">
        <f aca="false">IF(OR(G988="",H988=""),"",H988-G988)</f>
        <v/>
      </c>
      <c r="J988" s="4"/>
      <c r="K988" s="4"/>
      <c r="L988" s="18" t="str">
        <f aca="false">IF(F988="","",IF(COUNTIF('DS XE - TAI XE'!$B$6:$B$505,F988)&gt;0,"✓ Có","Chưa có trong DS xe"))</f>
        <v/>
      </c>
    </row>
    <row r="989" customFormat="false" ht="15" hidden="false" customHeight="false" outlineLevel="0" collapsed="false">
      <c r="A989" s="12" t="str">
        <f aca="false">IF(F989="","",COUNTA($F$8:F989))</f>
        <v/>
      </c>
      <c r="B989" s="4"/>
      <c r="C989" s="13"/>
      <c r="D989" s="14"/>
      <c r="E989" s="14"/>
      <c r="F989" s="15"/>
      <c r="G989" s="16"/>
      <c r="H989" s="16"/>
      <c r="I989" s="17" t="str">
        <f aca="false">IF(OR(G989="",H989=""),"",H989-G989)</f>
        <v/>
      </c>
      <c r="J989" s="4"/>
      <c r="K989" s="4"/>
      <c r="L989" s="18" t="str">
        <f aca="false">IF(F989="","",IF(COUNTIF('DS XE - TAI XE'!$B$6:$B$505,F989)&gt;0,"✓ Có","Chưa có trong DS xe"))</f>
        <v/>
      </c>
    </row>
    <row r="990" customFormat="false" ht="15" hidden="false" customHeight="false" outlineLevel="0" collapsed="false">
      <c r="A990" s="12" t="str">
        <f aca="false">IF(F990="","",COUNTA($F$8:F990))</f>
        <v/>
      </c>
      <c r="B990" s="4"/>
      <c r="C990" s="13"/>
      <c r="D990" s="14"/>
      <c r="E990" s="14"/>
      <c r="F990" s="15"/>
      <c r="G990" s="16"/>
      <c r="H990" s="16"/>
      <c r="I990" s="17" t="str">
        <f aca="false">IF(OR(G990="",H990=""),"",H990-G990)</f>
        <v/>
      </c>
      <c r="J990" s="4"/>
      <c r="K990" s="4"/>
      <c r="L990" s="18" t="str">
        <f aca="false">IF(F990="","",IF(COUNTIF('DS XE - TAI XE'!$B$6:$B$505,F990)&gt;0,"✓ Có","Chưa có trong DS xe"))</f>
        <v/>
      </c>
    </row>
    <row r="991" customFormat="false" ht="15" hidden="false" customHeight="false" outlineLevel="0" collapsed="false">
      <c r="A991" s="12" t="str">
        <f aca="false">IF(F991="","",COUNTA($F$8:F991))</f>
        <v/>
      </c>
      <c r="B991" s="4"/>
      <c r="C991" s="13"/>
      <c r="D991" s="14"/>
      <c r="E991" s="14"/>
      <c r="F991" s="15"/>
      <c r="G991" s="16"/>
      <c r="H991" s="16"/>
      <c r="I991" s="17" t="str">
        <f aca="false">IF(OR(G991="",H991=""),"",H991-G991)</f>
        <v/>
      </c>
      <c r="J991" s="4"/>
      <c r="K991" s="4"/>
      <c r="L991" s="18" t="str">
        <f aca="false">IF(F991="","",IF(COUNTIF('DS XE - TAI XE'!$B$6:$B$505,F991)&gt;0,"✓ Có","Chưa có trong DS xe"))</f>
        <v/>
      </c>
    </row>
    <row r="992" customFormat="false" ht="15" hidden="false" customHeight="false" outlineLevel="0" collapsed="false">
      <c r="A992" s="12" t="str">
        <f aca="false">IF(F992="","",COUNTA($F$8:F992))</f>
        <v/>
      </c>
      <c r="B992" s="4"/>
      <c r="C992" s="13"/>
      <c r="D992" s="14"/>
      <c r="E992" s="14"/>
      <c r="F992" s="15"/>
      <c r="G992" s="16"/>
      <c r="H992" s="16"/>
      <c r="I992" s="17" t="str">
        <f aca="false">IF(OR(G992="",H992=""),"",H992-G992)</f>
        <v/>
      </c>
      <c r="J992" s="4"/>
      <c r="K992" s="4"/>
      <c r="L992" s="18" t="str">
        <f aca="false">IF(F992="","",IF(COUNTIF('DS XE - TAI XE'!$B$6:$B$505,F992)&gt;0,"✓ Có","Chưa có trong DS xe"))</f>
        <v/>
      </c>
    </row>
    <row r="993" customFormat="false" ht="15" hidden="false" customHeight="false" outlineLevel="0" collapsed="false">
      <c r="A993" s="12" t="str">
        <f aca="false">IF(F993="","",COUNTA($F$8:F993))</f>
        <v/>
      </c>
      <c r="B993" s="4"/>
      <c r="C993" s="13"/>
      <c r="D993" s="14"/>
      <c r="E993" s="14"/>
      <c r="F993" s="15"/>
      <c r="G993" s="16"/>
      <c r="H993" s="16"/>
      <c r="I993" s="17" t="str">
        <f aca="false">IF(OR(G993="",H993=""),"",H993-G993)</f>
        <v/>
      </c>
      <c r="J993" s="4"/>
      <c r="K993" s="4"/>
      <c r="L993" s="18" t="str">
        <f aca="false">IF(F993="","",IF(COUNTIF('DS XE - TAI XE'!$B$6:$B$505,F993)&gt;0,"✓ Có","Chưa có trong DS xe"))</f>
        <v/>
      </c>
    </row>
    <row r="994" customFormat="false" ht="15" hidden="false" customHeight="false" outlineLevel="0" collapsed="false">
      <c r="A994" s="12" t="str">
        <f aca="false">IF(F994="","",COUNTA($F$8:F994))</f>
        <v/>
      </c>
      <c r="B994" s="4"/>
      <c r="C994" s="13"/>
      <c r="D994" s="14"/>
      <c r="E994" s="14"/>
      <c r="F994" s="15"/>
      <c r="G994" s="16"/>
      <c r="H994" s="16"/>
      <c r="I994" s="17" t="str">
        <f aca="false">IF(OR(G994="",H994=""),"",H994-G994)</f>
        <v/>
      </c>
      <c r="J994" s="4"/>
      <c r="K994" s="4"/>
      <c r="L994" s="18" t="str">
        <f aca="false">IF(F994="","",IF(COUNTIF('DS XE - TAI XE'!$B$6:$B$505,F994)&gt;0,"✓ Có","Chưa có trong DS xe"))</f>
        <v/>
      </c>
    </row>
    <row r="995" customFormat="false" ht="15" hidden="false" customHeight="false" outlineLevel="0" collapsed="false">
      <c r="A995" s="12" t="str">
        <f aca="false">IF(F995="","",COUNTA($F$8:F995))</f>
        <v/>
      </c>
      <c r="B995" s="4"/>
      <c r="C995" s="13"/>
      <c r="D995" s="14"/>
      <c r="E995" s="14"/>
      <c r="F995" s="15"/>
      <c r="G995" s="16"/>
      <c r="H995" s="16"/>
      <c r="I995" s="17" t="str">
        <f aca="false">IF(OR(G995="",H995=""),"",H995-G995)</f>
        <v/>
      </c>
      <c r="J995" s="4"/>
      <c r="K995" s="4"/>
      <c r="L995" s="18" t="str">
        <f aca="false">IF(F995="","",IF(COUNTIF('DS XE - TAI XE'!$B$6:$B$505,F995)&gt;0,"✓ Có","Chưa có trong DS xe"))</f>
        <v/>
      </c>
    </row>
    <row r="996" customFormat="false" ht="15" hidden="false" customHeight="false" outlineLevel="0" collapsed="false">
      <c r="A996" s="12" t="str">
        <f aca="false">IF(F996="","",COUNTA($F$8:F996))</f>
        <v/>
      </c>
      <c r="B996" s="4"/>
      <c r="C996" s="13"/>
      <c r="D996" s="14"/>
      <c r="E996" s="14"/>
      <c r="F996" s="15"/>
      <c r="G996" s="16"/>
      <c r="H996" s="16"/>
      <c r="I996" s="17" t="str">
        <f aca="false">IF(OR(G996="",H996=""),"",H996-G996)</f>
        <v/>
      </c>
      <c r="J996" s="4"/>
      <c r="K996" s="4"/>
      <c r="L996" s="18" t="str">
        <f aca="false">IF(F996="","",IF(COUNTIF('DS XE - TAI XE'!$B$6:$B$505,F996)&gt;0,"✓ Có","Chưa có trong DS xe"))</f>
        <v/>
      </c>
    </row>
    <row r="997" customFormat="false" ht="15" hidden="false" customHeight="false" outlineLevel="0" collapsed="false">
      <c r="A997" s="12" t="str">
        <f aca="false">IF(F997="","",COUNTA($F$8:F997))</f>
        <v/>
      </c>
      <c r="B997" s="4"/>
      <c r="C997" s="13"/>
      <c r="D997" s="14"/>
      <c r="E997" s="14"/>
      <c r="F997" s="15"/>
      <c r="G997" s="16"/>
      <c r="H997" s="16"/>
      <c r="I997" s="17" t="str">
        <f aca="false">IF(OR(G997="",H997=""),"",H997-G997)</f>
        <v/>
      </c>
      <c r="J997" s="4"/>
      <c r="K997" s="4"/>
      <c r="L997" s="18" t="str">
        <f aca="false">IF(F997="","",IF(COUNTIF('DS XE - TAI XE'!$B$6:$B$505,F997)&gt;0,"✓ Có","Chưa có trong DS xe"))</f>
        <v/>
      </c>
    </row>
    <row r="998" customFormat="false" ht="15" hidden="false" customHeight="false" outlineLevel="0" collapsed="false">
      <c r="A998" s="12" t="str">
        <f aca="false">IF(F998="","",COUNTA($F$8:F998))</f>
        <v/>
      </c>
      <c r="B998" s="4"/>
      <c r="C998" s="13"/>
      <c r="D998" s="14"/>
      <c r="E998" s="14"/>
      <c r="F998" s="15"/>
      <c r="G998" s="16"/>
      <c r="H998" s="16"/>
      <c r="I998" s="17" t="str">
        <f aca="false">IF(OR(G998="",H998=""),"",H998-G998)</f>
        <v/>
      </c>
      <c r="J998" s="4"/>
      <c r="K998" s="4"/>
      <c r="L998" s="18" t="str">
        <f aca="false">IF(F998="","",IF(COUNTIF('DS XE - TAI XE'!$B$6:$B$505,F998)&gt;0,"✓ Có","Chưa có trong DS xe"))</f>
        <v/>
      </c>
    </row>
    <row r="999" customFormat="false" ht="15" hidden="false" customHeight="false" outlineLevel="0" collapsed="false">
      <c r="A999" s="12" t="str">
        <f aca="false">IF(F999="","",COUNTA($F$8:F999))</f>
        <v/>
      </c>
      <c r="B999" s="4"/>
      <c r="C999" s="13"/>
      <c r="D999" s="14"/>
      <c r="E999" s="14"/>
      <c r="F999" s="15"/>
      <c r="G999" s="16"/>
      <c r="H999" s="16"/>
      <c r="I999" s="17" t="str">
        <f aca="false">IF(OR(G999="",H999=""),"",H999-G999)</f>
        <v/>
      </c>
      <c r="J999" s="4"/>
      <c r="K999" s="4"/>
      <c r="L999" s="18" t="str">
        <f aca="false">IF(F999="","",IF(COUNTIF('DS XE - TAI XE'!$B$6:$B$505,F999)&gt;0,"✓ Có","Chưa có trong DS xe"))</f>
        <v/>
      </c>
    </row>
    <row r="1000" customFormat="false" ht="15" hidden="false" customHeight="false" outlineLevel="0" collapsed="false">
      <c r="A1000" s="12" t="str">
        <f aca="false">IF(F1000="","",COUNTA($F$8:F1000))</f>
        <v/>
      </c>
      <c r="B1000" s="4"/>
      <c r="C1000" s="13"/>
      <c r="D1000" s="14"/>
      <c r="E1000" s="14"/>
      <c r="F1000" s="15"/>
      <c r="G1000" s="16"/>
      <c r="H1000" s="16"/>
      <c r="I1000" s="17" t="str">
        <f aca="false">IF(OR(G1000="",H1000=""),"",H1000-G1000)</f>
        <v/>
      </c>
      <c r="J1000" s="4"/>
      <c r="K1000" s="4"/>
      <c r="L1000" s="18" t="str">
        <f aca="false">IF(F1000="","",IF(COUNTIF('DS XE - TAI XE'!$B$6:$B$505,F1000)&gt;0,"✓ Có","Chưa có trong DS xe"))</f>
        <v/>
      </c>
    </row>
    <row r="1001" customFormat="false" ht="15" hidden="false" customHeight="false" outlineLevel="0" collapsed="false">
      <c r="A1001" s="12" t="str">
        <f aca="false">IF(F1001="","",COUNTA($F$8:F1001))</f>
        <v/>
      </c>
      <c r="B1001" s="4"/>
      <c r="C1001" s="13"/>
      <c r="D1001" s="14"/>
      <c r="E1001" s="14"/>
      <c r="F1001" s="15"/>
      <c r="G1001" s="16"/>
      <c r="H1001" s="16"/>
      <c r="I1001" s="17" t="str">
        <f aca="false">IF(OR(G1001="",H1001=""),"",H1001-G1001)</f>
        <v/>
      </c>
      <c r="J1001" s="4"/>
      <c r="K1001" s="4"/>
      <c r="L1001" s="18" t="str">
        <f aca="false">IF(F1001="","",IF(COUNTIF('DS XE - TAI XE'!$B$6:$B$505,F1001)&gt;0,"✓ Có","Chưa có trong DS xe"))</f>
        <v/>
      </c>
    </row>
    <row r="1002" customFormat="false" ht="15" hidden="false" customHeight="false" outlineLevel="0" collapsed="false">
      <c r="A1002" s="12" t="str">
        <f aca="false">IF(F1002="","",COUNTA($F$8:F1002))</f>
        <v/>
      </c>
      <c r="B1002" s="4"/>
      <c r="C1002" s="13"/>
      <c r="D1002" s="14"/>
      <c r="E1002" s="14"/>
      <c r="F1002" s="15"/>
      <c r="G1002" s="16"/>
      <c r="H1002" s="16"/>
      <c r="I1002" s="17" t="str">
        <f aca="false">IF(OR(G1002="",H1002=""),"",H1002-G1002)</f>
        <v/>
      </c>
      <c r="J1002" s="4"/>
      <c r="K1002" s="4"/>
      <c r="L1002" s="18" t="str">
        <f aca="false">IF(F1002="","",IF(COUNTIF('DS XE - TAI XE'!$B$6:$B$505,F1002)&gt;0,"✓ Có","Chưa có trong DS xe"))</f>
        <v/>
      </c>
    </row>
    <row r="1003" customFormat="false" ht="15" hidden="false" customHeight="false" outlineLevel="0" collapsed="false">
      <c r="A1003" s="12" t="str">
        <f aca="false">IF(F1003="","",COUNTA($F$8:F1003))</f>
        <v/>
      </c>
      <c r="B1003" s="4"/>
      <c r="C1003" s="13"/>
      <c r="D1003" s="14"/>
      <c r="E1003" s="14"/>
      <c r="F1003" s="15"/>
      <c r="G1003" s="16"/>
      <c r="H1003" s="16"/>
      <c r="I1003" s="17" t="str">
        <f aca="false">IF(OR(G1003="",H1003=""),"",H1003-G1003)</f>
        <v/>
      </c>
      <c r="J1003" s="4"/>
      <c r="K1003" s="4"/>
      <c r="L1003" s="18" t="str">
        <f aca="false">IF(F1003="","",IF(COUNTIF('DS XE - TAI XE'!$B$6:$B$505,F1003)&gt;0,"✓ Có","Chưa có trong DS xe"))</f>
        <v/>
      </c>
    </row>
    <row r="1004" customFormat="false" ht="15" hidden="false" customHeight="false" outlineLevel="0" collapsed="false">
      <c r="A1004" s="12" t="str">
        <f aca="false">IF(F1004="","",COUNTA($F$8:F1004))</f>
        <v/>
      </c>
      <c r="B1004" s="4"/>
      <c r="C1004" s="13"/>
      <c r="D1004" s="14"/>
      <c r="E1004" s="14"/>
      <c r="F1004" s="15"/>
      <c r="G1004" s="16"/>
      <c r="H1004" s="16"/>
      <c r="I1004" s="17" t="str">
        <f aca="false">IF(OR(G1004="",H1004=""),"",H1004-G1004)</f>
        <v/>
      </c>
      <c r="J1004" s="4"/>
      <c r="K1004" s="4"/>
      <c r="L1004" s="18" t="str">
        <f aca="false">IF(F1004="","",IF(COUNTIF('DS XE - TAI XE'!$B$6:$B$505,F1004)&gt;0,"✓ Có","Chưa có trong DS xe"))</f>
        <v/>
      </c>
    </row>
    <row r="1005" customFormat="false" ht="15" hidden="false" customHeight="false" outlineLevel="0" collapsed="false">
      <c r="A1005" s="12" t="str">
        <f aca="false">IF(F1005="","",COUNTA($F$8:F1005))</f>
        <v/>
      </c>
      <c r="B1005" s="4"/>
      <c r="C1005" s="13"/>
      <c r="D1005" s="14"/>
      <c r="E1005" s="14"/>
      <c r="F1005" s="15"/>
      <c r="G1005" s="16"/>
      <c r="H1005" s="16"/>
      <c r="I1005" s="17" t="str">
        <f aca="false">IF(OR(G1005="",H1005=""),"",H1005-G1005)</f>
        <v/>
      </c>
      <c r="J1005" s="4"/>
      <c r="K1005" s="4"/>
      <c r="L1005" s="18" t="str">
        <f aca="false">IF(F1005="","",IF(COUNTIF('DS XE - TAI XE'!$B$6:$B$505,F1005)&gt;0,"✓ Có","Chưa có trong DS xe"))</f>
        <v/>
      </c>
    </row>
    <row r="1006" customFormat="false" ht="15" hidden="false" customHeight="false" outlineLevel="0" collapsed="false">
      <c r="A1006" s="12" t="str">
        <f aca="false">IF(F1006="","",COUNTA($F$8:F1006))</f>
        <v/>
      </c>
      <c r="B1006" s="4"/>
      <c r="C1006" s="13"/>
      <c r="D1006" s="14"/>
      <c r="E1006" s="14"/>
      <c r="F1006" s="15"/>
      <c r="G1006" s="16"/>
      <c r="H1006" s="16"/>
      <c r="I1006" s="17" t="str">
        <f aca="false">IF(OR(G1006="",H1006=""),"",H1006-G1006)</f>
        <v/>
      </c>
      <c r="J1006" s="4"/>
      <c r="K1006" s="4"/>
      <c r="L1006" s="18" t="str">
        <f aca="false">IF(F1006="","",IF(COUNTIF('DS XE - TAI XE'!$B$6:$B$505,F1006)&gt;0,"✓ Có","Chưa có trong DS xe"))</f>
        <v/>
      </c>
    </row>
    <row r="1007" customFormat="false" ht="15" hidden="false" customHeight="false" outlineLevel="0" collapsed="false">
      <c r="A1007" s="12" t="str">
        <f aca="false">IF(F1007="","",COUNTA($F$8:F1007))</f>
        <v/>
      </c>
      <c r="B1007" s="4"/>
      <c r="C1007" s="13"/>
      <c r="D1007" s="14"/>
      <c r="E1007" s="14"/>
      <c r="F1007" s="15"/>
      <c r="G1007" s="16"/>
      <c r="H1007" s="16"/>
      <c r="I1007" s="17" t="str">
        <f aca="false">IF(OR(G1007="",H1007=""),"",H1007-G1007)</f>
        <v/>
      </c>
      <c r="J1007" s="4"/>
      <c r="K1007" s="4"/>
      <c r="L1007" s="18" t="str">
        <f aca="false">IF(F1007="","",IF(COUNTIF('DS XE - TAI XE'!$B$6:$B$505,F1007)&gt;0,"✓ Có","Chưa có trong DS xe"))</f>
        <v/>
      </c>
    </row>
  </sheetData>
  <autoFilter ref="A7:L1007"/>
  <mergeCells count="8">
    <mergeCell ref="A1:L1"/>
    <mergeCell ref="A2:L2"/>
    <mergeCell ref="C3:F3"/>
    <mergeCell ref="H3:I3"/>
    <mergeCell ref="C4:F4"/>
    <mergeCell ref="H4:I4"/>
    <mergeCell ref="C5:F5"/>
    <mergeCell ref="H5:I5"/>
  </mergeCells>
  <conditionalFormatting sqref="L8:L1007">
    <cfRule type="expression" priority="2" aboveAverage="0" equalAverage="0" bottom="0" percent="0" rank="0" text="" dxfId="7">
      <formula>LEFT(L8,5)="Chưa "</formula>
    </cfRule>
  </conditionalFormatting>
  <conditionalFormatting sqref="I8:I1007">
    <cfRule type="expression" priority="3" aboveAverage="0" equalAverage="0" bottom="0" percent="0" rank="0" text="" dxfId="7">
      <formula>AND(I8&lt;&gt;"",I8&lt;=0)</formula>
    </cfRule>
  </conditionalFormatting>
  <dataValidations count="3">
    <dataValidation allowBlank="true" error="Biển số này chưa có trong sheet &quot;DS XE - TAI XE&quot; của đợt. Bấm Yes để vẫn nhập, sau đó bổ sung vào danh sách xe." errorStyle="warning" errorTitle="Biển số chưa có trong DS xe" operator="between" prompt="Chọn từ danh sách xe của đợt, hoặc gõ biển số." promptTitle="Biển số xe" showDropDown="false" showErrorMessage="true" showInputMessage="true" sqref="F8:F1007" type="list">
      <formula1>'DS XE - TAI XE'!$B$6:$B$505</formula1>
      <formula2>0</formula2>
    </dataValidation>
    <dataValidation allowBlank="true" error="Nhập ngày dạng dd/mm/yyyy." errorStyle="stop" errorTitle="Ngày cân" operator="greaterThan" showDropDown="false" showErrorMessage="true" showInputMessage="false" sqref="C8:C1007" type="date">
      <formula1>36526</formula1>
      <formula2>0</formula2>
    </dataValidation>
    <dataValidation allowBlank="true" error="Khối lượng cân tính bằng kg (0 – 200.000)." errorStyle="stop" errorTitle="Số cân (kg)" operator="between" showDropDown="false" showErrorMessage="true" showInputMessage="false" sqref="G8:H1007" type="decimal">
      <formula1>0</formula1>
      <formula2>200000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&amp;CTrang &amp;P /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6C"/>
    <pageSetUpPr fitToPage="true"/>
  </sheetPr>
  <dimension ref="A1:H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19" t="s">
        <v>24</v>
      </c>
      <c r="B2" s="19"/>
      <c r="C2" s="19"/>
      <c r="D2" s="19"/>
      <c r="E2" s="19"/>
      <c r="F2" s="19"/>
      <c r="G2" s="19"/>
      <c r="H2" s="19"/>
    </row>
    <row r="3" customFormat="false" ht="15" hidden="false" customHeight="false" outlineLevel="0" collapsed="false">
      <c r="A3" s="3" t="s">
        <v>25</v>
      </c>
      <c r="C3" s="20" t="str">
        <f aca="false">IF('BANG CAN'!C4="","(ghi tàu / chuyến ở sheet BANG CAN)",'BANG CAN'!C4)</f>
        <v>(ghi tàu / chuyến ở sheet BANG CAN)</v>
      </c>
      <c r="D3" s="20"/>
      <c r="E3" s="20"/>
      <c r="F3" s="20"/>
      <c r="G3" s="7" t="s">
        <v>26</v>
      </c>
      <c r="H3" s="21" t="n">
        <f aca="false">COUNTA(B6:B505)</f>
        <v>0</v>
      </c>
    </row>
    <row r="5" customFormat="false" ht="33.75" hidden="false" customHeight="true" outlineLevel="0" collapsed="false">
      <c r="A5" s="22" t="s">
        <v>11</v>
      </c>
      <c r="B5" s="22" t="s">
        <v>16</v>
      </c>
      <c r="C5" s="22" t="s">
        <v>27</v>
      </c>
      <c r="D5" s="22" t="s">
        <v>28</v>
      </c>
      <c r="E5" s="22" t="s">
        <v>29</v>
      </c>
      <c r="F5" s="22" t="s">
        <v>30</v>
      </c>
      <c r="G5" s="22" t="s">
        <v>31</v>
      </c>
      <c r="H5" s="22" t="s">
        <v>21</v>
      </c>
    </row>
    <row r="6" customFormat="false" ht="15" hidden="false" customHeight="false" outlineLevel="0" collapsed="false">
      <c r="A6" s="12" t="str">
        <f aca="false">IF(B6="","",COUNTA($B$6:B6))</f>
        <v/>
      </c>
      <c r="B6" s="15"/>
      <c r="C6" s="4"/>
      <c r="D6" s="23"/>
      <c r="E6" s="15"/>
      <c r="F6" s="24" t="str">
        <f aca="false">IF(E6="","",IFERROR(INDEX('MA DVVC'!$B$4:$B$53,MATCH(E6,'MA DVVC'!$A$4:$A$53,0)),"Mã chưa có trong MA DVVC"))</f>
        <v/>
      </c>
      <c r="G6" s="12" t="str">
        <f aca="false">IF(B6="","",COUNTIF('BANG CAN'!$F$8:$F$1007,B6))</f>
        <v/>
      </c>
      <c r="H6" s="4"/>
    </row>
    <row r="7" customFormat="false" ht="15" hidden="false" customHeight="false" outlineLevel="0" collapsed="false">
      <c r="A7" s="12" t="str">
        <f aca="false">IF(B7="","",COUNTA($B$6:B7))</f>
        <v/>
      </c>
      <c r="B7" s="15"/>
      <c r="C7" s="4"/>
      <c r="D7" s="23"/>
      <c r="E7" s="15"/>
      <c r="F7" s="24" t="str">
        <f aca="false">IF(E7="","",IFERROR(INDEX('MA DVVC'!$B$4:$B$53,MATCH(E7,'MA DVVC'!$A$4:$A$53,0)),"Mã chưa có trong MA DVVC"))</f>
        <v/>
      </c>
      <c r="G7" s="12" t="str">
        <f aca="false">IF(B7="","",COUNTIF('BANG CAN'!$F$8:$F$1007,B7))</f>
        <v/>
      </c>
      <c r="H7" s="4"/>
    </row>
    <row r="8" customFormat="false" ht="15" hidden="false" customHeight="false" outlineLevel="0" collapsed="false">
      <c r="A8" s="12" t="str">
        <f aca="false">IF(B8="","",COUNTA($B$6:B8))</f>
        <v/>
      </c>
      <c r="B8" s="15"/>
      <c r="C8" s="4"/>
      <c r="D8" s="23"/>
      <c r="E8" s="15"/>
      <c r="F8" s="24" t="str">
        <f aca="false">IF(E8="","",IFERROR(INDEX('MA DVVC'!$B$4:$B$53,MATCH(E8,'MA DVVC'!$A$4:$A$53,0)),"Mã chưa có trong MA DVVC"))</f>
        <v/>
      </c>
      <c r="G8" s="12" t="str">
        <f aca="false">IF(B8="","",COUNTIF('BANG CAN'!$F$8:$F$1007,B8))</f>
        <v/>
      </c>
      <c r="H8" s="4"/>
    </row>
    <row r="9" customFormat="false" ht="15" hidden="false" customHeight="false" outlineLevel="0" collapsed="false">
      <c r="A9" s="12" t="str">
        <f aca="false">IF(B9="","",COUNTA($B$6:B9))</f>
        <v/>
      </c>
      <c r="B9" s="15"/>
      <c r="C9" s="4"/>
      <c r="D9" s="23"/>
      <c r="E9" s="15"/>
      <c r="F9" s="24" t="str">
        <f aca="false">IF(E9="","",IFERROR(INDEX('MA DVVC'!$B$4:$B$53,MATCH(E9,'MA DVVC'!$A$4:$A$53,0)),"Mã chưa có trong MA DVVC"))</f>
        <v/>
      </c>
      <c r="G9" s="12" t="str">
        <f aca="false">IF(B9="","",COUNTIF('BANG CAN'!$F$8:$F$1007,B9))</f>
        <v/>
      </c>
      <c r="H9" s="4"/>
    </row>
    <row r="10" customFormat="false" ht="15" hidden="false" customHeight="false" outlineLevel="0" collapsed="false">
      <c r="A10" s="12" t="str">
        <f aca="false">IF(B10="","",COUNTA($B$6:B10))</f>
        <v/>
      </c>
      <c r="B10" s="15"/>
      <c r="C10" s="4"/>
      <c r="D10" s="23"/>
      <c r="E10" s="15"/>
      <c r="F10" s="24" t="str">
        <f aca="false">IF(E10="","",IFERROR(INDEX('MA DVVC'!$B$4:$B$53,MATCH(E10,'MA DVVC'!$A$4:$A$53,0)),"Mã chưa có trong MA DVVC"))</f>
        <v/>
      </c>
      <c r="G10" s="12" t="str">
        <f aca="false">IF(B10="","",COUNTIF('BANG CAN'!$F$8:$F$1007,B10))</f>
        <v/>
      </c>
      <c r="H10" s="4"/>
    </row>
    <row r="11" customFormat="false" ht="15" hidden="false" customHeight="false" outlineLevel="0" collapsed="false">
      <c r="A11" s="12" t="str">
        <f aca="false">IF(B11="","",COUNTA($B$6:B11))</f>
        <v/>
      </c>
      <c r="B11" s="15"/>
      <c r="C11" s="4"/>
      <c r="D11" s="23"/>
      <c r="E11" s="15"/>
      <c r="F11" s="24" t="str">
        <f aca="false">IF(E11="","",IFERROR(INDEX('MA DVVC'!$B$4:$B$53,MATCH(E11,'MA DVVC'!$A$4:$A$53,0)),"Mã chưa có trong MA DVVC"))</f>
        <v/>
      </c>
      <c r="G11" s="12" t="str">
        <f aca="false">IF(B11="","",COUNTIF('BANG CAN'!$F$8:$F$1007,B11))</f>
        <v/>
      </c>
      <c r="H11" s="4"/>
    </row>
    <row r="12" customFormat="false" ht="15" hidden="false" customHeight="false" outlineLevel="0" collapsed="false">
      <c r="A12" s="12" t="str">
        <f aca="false">IF(B12="","",COUNTA($B$6:B12))</f>
        <v/>
      </c>
      <c r="B12" s="15"/>
      <c r="C12" s="4"/>
      <c r="D12" s="23"/>
      <c r="E12" s="15"/>
      <c r="F12" s="24" t="str">
        <f aca="false">IF(E12="","",IFERROR(INDEX('MA DVVC'!$B$4:$B$53,MATCH(E12,'MA DVVC'!$A$4:$A$53,0)),"Mã chưa có trong MA DVVC"))</f>
        <v/>
      </c>
      <c r="G12" s="12" t="str">
        <f aca="false">IF(B12="","",COUNTIF('BANG CAN'!$F$8:$F$1007,B12))</f>
        <v/>
      </c>
      <c r="H12" s="4"/>
    </row>
    <row r="13" customFormat="false" ht="15" hidden="false" customHeight="false" outlineLevel="0" collapsed="false">
      <c r="A13" s="12" t="str">
        <f aca="false">IF(B13="","",COUNTA($B$6:B13))</f>
        <v/>
      </c>
      <c r="B13" s="15"/>
      <c r="C13" s="4"/>
      <c r="D13" s="23"/>
      <c r="E13" s="15"/>
      <c r="F13" s="24" t="str">
        <f aca="false">IF(E13="","",IFERROR(INDEX('MA DVVC'!$B$4:$B$53,MATCH(E13,'MA DVVC'!$A$4:$A$53,0)),"Mã chưa có trong MA DVVC"))</f>
        <v/>
      </c>
      <c r="G13" s="12" t="str">
        <f aca="false">IF(B13="","",COUNTIF('BANG CAN'!$F$8:$F$1007,B13))</f>
        <v/>
      </c>
      <c r="H13" s="4"/>
    </row>
    <row r="14" customFormat="false" ht="15" hidden="false" customHeight="false" outlineLevel="0" collapsed="false">
      <c r="A14" s="12" t="str">
        <f aca="false">IF(B14="","",COUNTA($B$6:B14))</f>
        <v/>
      </c>
      <c r="B14" s="15"/>
      <c r="C14" s="4"/>
      <c r="D14" s="23"/>
      <c r="E14" s="15"/>
      <c r="F14" s="24" t="str">
        <f aca="false">IF(E14="","",IFERROR(INDEX('MA DVVC'!$B$4:$B$53,MATCH(E14,'MA DVVC'!$A$4:$A$53,0)),"Mã chưa có trong MA DVVC"))</f>
        <v/>
      </c>
      <c r="G14" s="12" t="str">
        <f aca="false">IF(B14="","",COUNTIF('BANG CAN'!$F$8:$F$1007,B14))</f>
        <v/>
      </c>
      <c r="H14" s="4"/>
    </row>
    <row r="15" customFormat="false" ht="15" hidden="false" customHeight="false" outlineLevel="0" collapsed="false">
      <c r="A15" s="12" t="str">
        <f aca="false">IF(B15="","",COUNTA($B$6:B15))</f>
        <v/>
      </c>
      <c r="B15" s="15"/>
      <c r="C15" s="4"/>
      <c r="D15" s="23"/>
      <c r="E15" s="15"/>
      <c r="F15" s="24" t="str">
        <f aca="false">IF(E15="","",IFERROR(INDEX('MA DVVC'!$B$4:$B$53,MATCH(E15,'MA DVVC'!$A$4:$A$53,0)),"Mã chưa có trong MA DVVC"))</f>
        <v/>
      </c>
      <c r="G15" s="12" t="str">
        <f aca="false">IF(B15="","",COUNTIF('BANG CAN'!$F$8:$F$1007,B15))</f>
        <v/>
      </c>
      <c r="H15" s="4"/>
    </row>
    <row r="16" customFormat="false" ht="15" hidden="false" customHeight="false" outlineLevel="0" collapsed="false">
      <c r="A16" s="12" t="str">
        <f aca="false">IF(B16="","",COUNTA($B$6:B16))</f>
        <v/>
      </c>
      <c r="B16" s="15"/>
      <c r="C16" s="4"/>
      <c r="D16" s="23"/>
      <c r="E16" s="15"/>
      <c r="F16" s="24" t="str">
        <f aca="false">IF(E16="","",IFERROR(INDEX('MA DVVC'!$B$4:$B$53,MATCH(E16,'MA DVVC'!$A$4:$A$53,0)),"Mã chưa có trong MA DVVC"))</f>
        <v/>
      </c>
      <c r="G16" s="12" t="str">
        <f aca="false">IF(B16="","",COUNTIF('BANG CAN'!$F$8:$F$1007,B16))</f>
        <v/>
      </c>
      <c r="H16" s="4"/>
    </row>
    <row r="17" customFormat="false" ht="15" hidden="false" customHeight="false" outlineLevel="0" collapsed="false">
      <c r="A17" s="12" t="str">
        <f aca="false">IF(B17="","",COUNTA($B$6:B17))</f>
        <v/>
      </c>
      <c r="B17" s="15"/>
      <c r="C17" s="4"/>
      <c r="D17" s="23"/>
      <c r="E17" s="15"/>
      <c r="F17" s="24" t="str">
        <f aca="false">IF(E17="","",IFERROR(INDEX('MA DVVC'!$B$4:$B$53,MATCH(E17,'MA DVVC'!$A$4:$A$53,0)),"Mã chưa có trong MA DVVC"))</f>
        <v/>
      </c>
      <c r="G17" s="12" t="str">
        <f aca="false">IF(B17="","",COUNTIF('BANG CAN'!$F$8:$F$1007,B17))</f>
        <v/>
      </c>
      <c r="H17" s="4"/>
    </row>
    <row r="18" customFormat="false" ht="15" hidden="false" customHeight="false" outlineLevel="0" collapsed="false">
      <c r="A18" s="12" t="str">
        <f aca="false">IF(B18="","",COUNTA($B$6:B18))</f>
        <v/>
      </c>
      <c r="B18" s="15"/>
      <c r="C18" s="4"/>
      <c r="D18" s="23"/>
      <c r="E18" s="15"/>
      <c r="F18" s="24" t="str">
        <f aca="false">IF(E18="","",IFERROR(INDEX('MA DVVC'!$B$4:$B$53,MATCH(E18,'MA DVVC'!$A$4:$A$53,0)),"Mã chưa có trong MA DVVC"))</f>
        <v/>
      </c>
      <c r="G18" s="12" t="str">
        <f aca="false">IF(B18="","",COUNTIF('BANG CAN'!$F$8:$F$1007,B18))</f>
        <v/>
      </c>
      <c r="H18" s="4"/>
    </row>
    <row r="19" customFormat="false" ht="15" hidden="false" customHeight="false" outlineLevel="0" collapsed="false">
      <c r="A19" s="12" t="str">
        <f aca="false">IF(B19="","",COUNTA($B$6:B19))</f>
        <v/>
      </c>
      <c r="B19" s="15"/>
      <c r="C19" s="4"/>
      <c r="D19" s="23"/>
      <c r="E19" s="15"/>
      <c r="F19" s="24" t="str">
        <f aca="false">IF(E19="","",IFERROR(INDEX('MA DVVC'!$B$4:$B$53,MATCH(E19,'MA DVVC'!$A$4:$A$53,0)),"Mã chưa có trong MA DVVC"))</f>
        <v/>
      </c>
      <c r="G19" s="12" t="str">
        <f aca="false">IF(B19="","",COUNTIF('BANG CAN'!$F$8:$F$1007,B19))</f>
        <v/>
      </c>
      <c r="H19" s="4"/>
    </row>
    <row r="20" customFormat="false" ht="15" hidden="false" customHeight="false" outlineLevel="0" collapsed="false">
      <c r="A20" s="12" t="str">
        <f aca="false">IF(B20="","",COUNTA($B$6:B20))</f>
        <v/>
      </c>
      <c r="B20" s="15"/>
      <c r="C20" s="4"/>
      <c r="D20" s="23"/>
      <c r="E20" s="15"/>
      <c r="F20" s="24" t="str">
        <f aca="false">IF(E20="","",IFERROR(INDEX('MA DVVC'!$B$4:$B$53,MATCH(E20,'MA DVVC'!$A$4:$A$53,0)),"Mã chưa có trong MA DVVC"))</f>
        <v/>
      </c>
      <c r="G20" s="12" t="str">
        <f aca="false">IF(B20="","",COUNTIF('BANG CAN'!$F$8:$F$1007,B20))</f>
        <v/>
      </c>
      <c r="H20" s="4"/>
    </row>
    <row r="21" customFormat="false" ht="15" hidden="false" customHeight="false" outlineLevel="0" collapsed="false">
      <c r="A21" s="12" t="str">
        <f aca="false">IF(B21="","",COUNTA($B$6:B21))</f>
        <v/>
      </c>
      <c r="B21" s="15"/>
      <c r="C21" s="4"/>
      <c r="D21" s="23"/>
      <c r="E21" s="15"/>
      <c r="F21" s="24" t="str">
        <f aca="false">IF(E21="","",IFERROR(INDEX('MA DVVC'!$B$4:$B$53,MATCH(E21,'MA DVVC'!$A$4:$A$53,0)),"Mã chưa có trong MA DVVC"))</f>
        <v/>
      </c>
      <c r="G21" s="12" t="str">
        <f aca="false">IF(B21="","",COUNTIF('BANG CAN'!$F$8:$F$1007,B21))</f>
        <v/>
      </c>
      <c r="H21" s="4"/>
    </row>
    <row r="22" customFormat="false" ht="15" hidden="false" customHeight="false" outlineLevel="0" collapsed="false">
      <c r="A22" s="12" t="str">
        <f aca="false">IF(B22="","",COUNTA($B$6:B22))</f>
        <v/>
      </c>
      <c r="B22" s="15"/>
      <c r="C22" s="4"/>
      <c r="D22" s="23"/>
      <c r="E22" s="15"/>
      <c r="F22" s="24" t="str">
        <f aca="false">IF(E22="","",IFERROR(INDEX('MA DVVC'!$B$4:$B$53,MATCH(E22,'MA DVVC'!$A$4:$A$53,0)),"Mã chưa có trong MA DVVC"))</f>
        <v/>
      </c>
      <c r="G22" s="12" t="str">
        <f aca="false">IF(B22="","",COUNTIF('BANG CAN'!$F$8:$F$1007,B22))</f>
        <v/>
      </c>
      <c r="H22" s="4"/>
    </row>
    <row r="23" customFormat="false" ht="15" hidden="false" customHeight="false" outlineLevel="0" collapsed="false">
      <c r="A23" s="12" t="str">
        <f aca="false">IF(B23="","",COUNTA($B$6:B23))</f>
        <v/>
      </c>
      <c r="B23" s="15"/>
      <c r="C23" s="4"/>
      <c r="D23" s="23"/>
      <c r="E23" s="15"/>
      <c r="F23" s="24" t="str">
        <f aca="false">IF(E23="","",IFERROR(INDEX('MA DVVC'!$B$4:$B$53,MATCH(E23,'MA DVVC'!$A$4:$A$53,0)),"Mã chưa có trong MA DVVC"))</f>
        <v/>
      </c>
      <c r="G23" s="12" t="str">
        <f aca="false">IF(B23="","",COUNTIF('BANG CAN'!$F$8:$F$1007,B23))</f>
        <v/>
      </c>
      <c r="H23" s="4"/>
    </row>
    <row r="24" customFormat="false" ht="15" hidden="false" customHeight="false" outlineLevel="0" collapsed="false">
      <c r="A24" s="12" t="str">
        <f aca="false">IF(B24="","",COUNTA($B$6:B24))</f>
        <v/>
      </c>
      <c r="B24" s="15"/>
      <c r="C24" s="4"/>
      <c r="D24" s="23"/>
      <c r="E24" s="15"/>
      <c r="F24" s="24" t="str">
        <f aca="false">IF(E24="","",IFERROR(INDEX('MA DVVC'!$B$4:$B$53,MATCH(E24,'MA DVVC'!$A$4:$A$53,0)),"Mã chưa có trong MA DVVC"))</f>
        <v/>
      </c>
      <c r="G24" s="12" t="str">
        <f aca="false">IF(B24="","",COUNTIF('BANG CAN'!$F$8:$F$1007,B24))</f>
        <v/>
      </c>
      <c r="H24" s="4"/>
    </row>
    <row r="25" customFormat="false" ht="15" hidden="false" customHeight="false" outlineLevel="0" collapsed="false">
      <c r="A25" s="12" t="str">
        <f aca="false">IF(B25="","",COUNTA($B$6:B25))</f>
        <v/>
      </c>
      <c r="B25" s="15"/>
      <c r="C25" s="4"/>
      <c r="D25" s="23"/>
      <c r="E25" s="15"/>
      <c r="F25" s="24" t="str">
        <f aca="false">IF(E25="","",IFERROR(INDEX('MA DVVC'!$B$4:$B$53,MATCH(E25,'MA DVVC'!$A$4:$A$53,0)),"Mã chưa có trong MA DVVC"))</f>
        <v/>
      </c>
      <c r="G25" s="12" t="str">
        <f aca="false">IF(B25="","",COUNTIF('BANG CAN'!$F$8:$F$1007,B25))</f>
        <v/>
      </c>
      <c r="H25" s="4"/>
    </row>
    <row r="26" customFormat="false" ht="15" hidden="false" customHeight="false" outlineLevel="0" collapsed="false">
      <c r="A26" s="12" t="str">
        <f aca="false">IF(B26="","",COUNTA($B$6:B26))</f>
        <v/>
      </c>
      <c r="B26" s="15"/>
      <c r="C26" s="4"/>
      <c r="D26" s="23"/>
      <c r="E26" s="15"/>
      <c r="F26" s="24" t="str">
        <f aca="false">IF(E26="","",IFERROR(INDEX('MA DVVC'!$B$4:$B$53,MATCH(E26,'MA DVVC'!$A$4:$A$53,0)),"Mã chưa có trong MA DVVC"))</f>
        <v/>
      </c>
      <c r="G26" s="12" t="str">
        <f aca="false">IF(B26="","",COUNTIF('BANG CAN'!$F$8:$F$1007,B26))</f>
        <v/>
      </c>
      <c r="H26" s="4"/>
    </row>
    <row r="27" customFormat="false" ht="15" hidden="false" customHeight="false" outlineLevel="0" collapsed="false">
      <c r="A27" s="12" t="str">
        <f aca="false">IF(B27="","",COUNTA($B$6:B27))</f>
        <v/>
      </c>
      <c r="B27" s="15"/>
      <c r="C27" s="4"/>
      <c r="D27" s="23"/>
      <c r="E27" s="15"/>
      <c r="F27" s="24" t="str">
        <f aca="false">IF(E27="","",IFERROR(INDEX('MA DVVC'!$B$4:$B$53,MATCH(E27,'MA DVVC'!$A$4:$A$53,0)),"Mã chưa có trong MA DVVC"))</f>
        <v/>
      </c>
      <c r="G27" s="12" t="str">
        <f aca="false">IF(B27="","",COUNTIF('BANG CAN'!$F$8:$F$1007,B27))</f>
        <v/>
      </c>
      <c r="H27" s="4"/>
    </row>
    <row r="28" customFormat="false" ht="15" hidden="false" customHeight="false" outlineLevel="0" collapsed="false">
      <c r="A28" s="12" t="str">
        <f aca="false">IF(B28="","",COUNTA($B$6:B28))</f>
        <v/>
      </c>
      <c r="B28" s="15"/>
      <c r="C28" s="4"/>
      <c r="D28" s="23"/>
      <c r="E28" s="15"/>
      <c r="F28" s="24" t="str">
        <f aca="false">IF(E28="","",IFERROR(INDEX('MA DVVC'!$B$4:$B$53,MATCH(E28,'MA DVVC'!$A$4:$A$53,0)),"Mã chưa có trong MA DVVC"))</f>
        <v/>
      </c>
      <c r="G28" s="12" t="str">
        <f aca="false">IF(B28="","",COUNTIF('BANG CAN'!$F$8:$F$1007,B28))</f>
        <v/>
      </c>
      <c r="H28" s="4"/>
    </row>
    <row r="29" customFormat="false" ht="15" hidden="false" customHeight="false" outlineLevel="0" collapsed="false">
      <c r="A29" s="12" t="str">
        <f aca="false">IF(B29="","",COUNTA($B$6:B29))</f>
        <v/>
      </c>
      <c r="B29" s="15"/>
      <c r="C29" s="4"/>
      <c r="D29" s="23"/>
      <c r="E29" s="15"/>
      <c r="F29" s="24" t="str">
        <f aca="false">IF(E29="","",IFERROR(INDEX('MA DVVC'!$B$4:$B$53,MATCH(E29,'MA DVVC'!$A$4:$A$53,0)),"Mã chưa có trong MA DVVC"))</f>
        <v/>
      </c>
      <c r="G29" s="12" t="str">
        <f aca="false">IF(B29="","",COUNTIF('BANG CAN'!$F$8:$F$1007,B29))</f>
        <v/>
      </c>
      <c r="H29" s="4"/>
    </row>
    <row r="30" customFormat="false" ht="15" hidden="false" customHeight="false" outlineLevel="0" collapsed="false">
      <c r="A30" s="12" t="str">
        <f aca="false">IF(B30="","",COUNTA($B$6:B30))</f>
        <v/>
      </c>
      <c r="B30" s="15"/>
      <c r="C30" s="4"/>
      <c r="D30" s="23"/>
      <c r="E30" s="15"/>
      <c r="F30" s="24" t="str">
        <f aca="false">IF(E30="","",IFERROR(INDEX('MA DVVC'!$B$4:$B$53,MATCH(E30,'MA DVVC'!$A$4:$A$53,0)),"Mã chưa có trong MA DVVC"))</f>
        <v/>
      </c>
      <c r="G30" s="12" t="str">
        <f aca="false">IF(B30="","",COUNTIF('BANG CAN'!$F$8:$F$1007,B30))</f>
        <v/>
      </c>
      <c r="H30" s="4"/>
    </row>
    <row r="31" customFormat="false" ht="15" hidden="false" customHeight="false" outlineLevel="0" collapsed="false">
      <c r="A31" s="12" t="str">
        <f aca="false">IF(B31="","",COUNTA($B$6:B31))</f>
        <v/>
      </c>
      <c r="B31" s="15"/>
      <c r="C31" s="4"/>
      <c r="D31" s="23"/>
      <c r="E31" s="15"/>
      <c r="F31" s="24" t="str">
        <f aca="false">IF(E31="","",IFERROR(INDEX('MA DVVC'!$B$4:$B$53,MATCH(E31,'MA DVVC'!$A$4:$A$53,0)),"Mã chưa có trong MA DVVC"))</f>
        <v/>
      </c>
      <c r="G31" s="12" t="str">
        <f aca="false">IF(B31="","",COUNTIF('BANG CAN'!$F$8:$F$1007,B31))</f>
        <v/>
      </c>
      <c r="H31" s="4"/>
    </row>
    <row r="32" customFormat="false" ht="15" hidden="false" customHeight="false" outlineLevel="0" collapsed="false">
      <c r="A32" s="12" t="str">
        <f aca="false">IF(B32="","",COUNTA($B$6:B32))</f>
        <v/>
      </c>
      <c r="B32" s="15"/>
      <c r="C32" s="4"/>
      <c r="D32" s="23"/>
      <c r="E32" s="15"/>
      <c r="F32" s="24" t="str">
        <f aca="false">IF(E32="","",IFERROR(INDEX('MA DVVC'!$B$4:$B$53,MATCH(E32,'MA DVVC'!$A$4:$A$53,0)),"Mã chưa có trong MA DVVC"))</f>
        <v/>
      </c>
      <c r="G32" s="12" t="str">
        <f aca="false">IF(B32="","",COUNTIF('BANG CAN'!$F$8:$F$1007,B32))</f>
        <v/>
      </c>
      <c r="H32" s="4"/>
    </row>
    <row r="33" customFormat="false" ht="15" hidden="false" customHeight="false" outlineLevel="0" collapsed="false">
      <c r="A33" s="12" t="str">
        <f aca="false">IF(B33="","",COUNTA($B$6:B33))</f>
        <v/>
      </c>
      <c r="B33" s="15"/>
      <c r="C33" s="4"/>
      <c r="D33" s="23"/>
      <c r="E33" s="15"/>
      <c r="F33" s="24" t="str">
        <f aca="false">IF(E33="","",IFERROR(INDEX('MA DVVC'!$B$4:$B$53,MATCH(E33,'MA DVVC'!$A$4:$A$53,0)),"Mã chưa có trong MA DVVC"))</f>
        <v/>
      </c>
      <c r="G33" s="12" t="str">
        <f aca="false">IF(B33="","",COUNTIF('BANG CAN'!$F$8:$F$1007,B33))</f>
        <v/>
      </c>
      <c r="H33" s="4"/>
    </row>
    <row r="34" customFormat="false" ht="15" hidden="false" customHeight="false" outlineLevel="0" collapsed="false">
      <c r="A34" s="12" t="str">
        <f aca="false">IF(B34="","",COUNTA($B$6:B34))</f>
        <v/>
      </c>
      <c r="B34" s="15"/>
      <c r="C34" s="4"/>
      <c r="D34" s="23"/>
      <c r="E34" s="15"/>
      <c r="F34" s="24" t="str">
        <f aca="false">IF(E34="","",IFERROR(INDEX('MA DVVC'!$B$4:$B$53,MATCH(E34,'MA DVVC'!$A$4:$A$53,0)),"Mã chưa có trong MA DVVC"))</f>
        <v/>
      </c>
      <c r="G34" s="12" t="str">
        <f aca="false">IF(B34="","",COUNTIF('BANG CAN'!$F$8:$F$1007,B34))</f>
        <v/>
      </c>
      <c r="H34" s="4"/>
    </row>
    <row r="35" customFormat="false" ht="15" hidden="false" customHeight="false" outlineLevel="0" collapsed="false">
      <c r="A35" s="12" t="str">
        <f aca="false">IF(B35="","",COUNTA($B$6:B35))</f>
        <v/>
      </c>
      <c r="B35" s="15"/>
      <c r="C35" s="4"/>
      <c r="D35" s="23"/>
      <c r="E35" s="15"/>
      <c r="F35" s="24" t="str">
        <f aca="false">IF(E35="","",IFERROR(INDEX('MA DVVC'!$B$4:$B$53,MATCH(E35,'MA DVVC'!$A$4:$A$53,0)),"Mã chưa có trong MA DVVC"))</f>
        <v/>
      </c>
      <c r="G35" s="12" t="str">
        <f aca="false">IF(B35="","",COUNTIF('BANG CAN'!$F$8:$F$1007,B35))</f>
        <v/>
      </c>
      <c r="H35" s="4"/>
    </row>
    <row r="36" customFormat="false" ht="15" hidden="false" customHeight="false" outlineLevel="0" collapsed="false">
      <c r="A36" s="12" t="str">
        <f aca="false">IF(B36="","",COUNTA($B$6:B36))</f>
        <v/>
      </c>
      <c r="B36" s="15"/>
      <c r="C36" s="4"/>
      <c r="D36" s="23"/>
      <c r="E36" s="15"/>
      <c r="F36" s="24" t="str">
        <f aca="false">IF(E36="","",IFERROR(INDEX('MA DVVC'!$B$4:$B$53,MATCH(E36,'MA DVVC'!$A$4:$A$53,0)),"Mã chưa có trong MA DVVC"))</f>
        <v/>
      </c>
      <c r="G36" s="12" t="str">
        <f aca="false">IF(B36="","",COUNTIF('BANG CAN'!$F$8:$F$1007,B36))</f>
        <v/>
      </c>
      <c r="H36" s="4"/>
    </row>
    <row r="37" customFormat="false" ht="15" hidden="false" customHeight="false" outlineLevel="0" collapsed="false">
      <c r="A37" s="12" t="str">
        <f aca="false">IF(B37="","",COUNTA($B$6:B37))</f>
        <v/>
      </c>
      <c r="B37" s="15"/>
      <c r="C37" s="4"/>
      <c r="D37" s="23"/>
      <c r="E37" s="15"/>
      <c r="F37" s="24" t="str">
        <f aca="false">IF(E37="","",IFERROR(INDEX('MA DVVC'!$B$4:$B$53,MATCH(E37,'MA DVVC'!$A$4:$A$53,0)),"Mã chưa có trong MA DVVC"))</f>
        <v/>
      </c>
      <c r="G37" s="12" t="str">
        <f aca="false">IF(B37="","",COUNTIF('BANG CAN'!$F$8:$F$1007,B37))</f>
        <v/>
      </c>
      <c r="H37" s="4"/>
    </row>
    <row r="38" customFormat="false" ht="15" hidden="false" customHeight="false" outlineLevel="0" collapsed="false">
      <c r="A38" s="12" t="str">
        <f aca="false">IF(B38="","",COUNTA($B$6:B38))</f>
        <v/>
      </c>
      <c r="B38" s="15"/>
      <c r="C38" s="4"/>
      <c r="D38" s="23"/>
      <c r="E38" s="15"/>
      <c r="F38" s="24" t="str">
        <f aca="false">IF(E38="","",IFERROR(INDEX('MA DVVC'!$B$4:$B$53,MATCH(E38,'MA DVVC'!$A$4:$A$53,0)),"Mã chưa có trong MA DVVC"))</f>
        <v/>
      </c>
      <c r="G38" s="12" t="str">
        <f aca="false">IF(B38="","",COUNTIF('BANG CAN'!$F$8:$F$1007,B38))</f>
        <v/>
      </c>
      <c r="H38" s="4"/>
    </row>
    <row r="39" customFormat="false" ht="15" hidden="false" customHeight="false" outlineLevel="0" collapsed="false">
      <c r="A39" s="12" t="str">
        <f aca="false">IF(B39="","",COUNTA($B$6:B39))</f>
        <v/>
      </c>
      <c r="B39" s="15"/>
      <c r="C39" s="4"/>
      <c r="D39" s="23"/>
      <c r="E39" s="15"/>
      <c r="F39" s="24" t="str">
        <f aca="false">IF(E39="","",IFERROR(INDEX('MA DVVC'!$B$4:$B$53,MATCH(E39,'MA DVVC'!$A$4:$A$53,0)),"Mã chưa có trong MA DVVC"))</f>
        <v/>
      </c>
      <c r="G39" s="12" t="str">
        <f aca="false">IF(B39="","",COUNTIF('BANG CAN'!$F$8:$F$1007,B39))</f>
        <v/>
      </c>
      <c r="H39" s="4"/>
    </row>
    <row r="40" customFormat="false" ht="15" hidden="false" customHeight="false" outlineLevel="0" collapsed="false">
      <c r="A40" s="12" t="str">
        <f aca="false">IF(B40="","",COUNTA($B$6:B40))</f>
        <v/>
      </c>
      <c r="B40" s="15"/>
      <c r="C40" s="4"/>
      <c r="D40" s="23"/>
      <c r="E40" s="15"/>
      <c r="F40" s="24" t="str">
        <f aca="false">IF(E40="","",IFERROR(INDEX('MA DVVC'!$B$4:$B$53,MATCH(E40,'MA DVVC'!$A$4:$A$53,0)),"Mã chưa có trong MA DVVC"))</f>
        <v/>
      </c>
      <c r="G40" s="12" t="str">
        <f aca="false">IF(B40="","",COUNTIF('BANG CAN'!$F$8:$F$1007,B40))</f>
        <v/>
      </c>
      <c r="H40" s="4"/>
    </row>
    <row r="41" customFormat="false" ht="15" hidden="false" customHeight="false" outlineLevel="0" collapsed="false">
      <c r="A41" s="12" t="str">
        <f aca="false">IF(B41="","",COUNTA($B$6:B41))</f>
        <v/>
      </c>
      <c r="B41" s="15"/>
      <c r="C41" s="4"/>
      <c r="D41" s="23"/>
      <c r="E41" s="15"/>
      <c r="F41" s="24" t="str">
        <f aca="false">IF(E41="","",IFERROR(INDEX('MA DVVC'!$B$4:$B$53,MATCH(E41,'MA DVVC'!$A$4:$A$53,0)),"Mã chưa có trong MA DVVC"))</f>
        <v/>
      </c>
      <c r="G41" s="12" t="str">
        <f aca="false">IF(B41="","",COUNTIF('BANG CAN'!$F$8:$F$1007,B41))</f>
        <v/>
      </c>
      <c r="H41" s="4"/>
    </row>
    <row r="42" customFormat="false" ht="15" hidden="false" customHeight="false" outlineLevel="0" collapsed="false">
      <c r="A42" s="12" t="str">
        <f aca="false">IF(B42="","",COUNTA($B$6:B42))</f>
        <v/>
      </c>
      <c r="B42" s="15"/>
      <c r="C42" s="4"/>
      <c r="D42" s="23"/>
      <c r="E42" s="15"/>
      <c r="F42" s="24" t="str">
        <f aca="false">IF(E42="","",IFERROR(INDEX('MA DVVC'!$B$4:$B$53,MATCH(E42,'MA DVVC'!$A$4:$A$53,0)),"Mã chưa có trong MA DVVC"))</f>
        <v/>
      </c>
      <c r="G42" s="12" t="str">
        <f aca="false">IF(B42="","",COUNTIF('BANG CAN'!$F$8:$F$1007,B42))</f>
        <v/>
      </c>
      <c r="H42" s="4"/>
    </row>
    <row r="43" customFormat="false" ht="15" hidden="false" customHeight="false" outlineLevel="0" collapsed="false">
      <c r="A43" s="12" t="str">
        <f aca="false">IF(B43="","",COUNTA($B$6:B43))</f>
        <v/>
      </c>
      <c r="B43" s="15"/>
      <c r="C43" s="4"/>
      <c r="D43" s="23"/>
      <c r="E43" s="15"/>
      <c r="F43" s="24" t="str">
        <f aca="false">IF(E43="","",IFERROR(INDEX('MA DVVC'!$B$4:$B$53,MATCH(E43,'MA DVVC'!$A$4:$A$53,0)),"Mã chưa có trong MA DVVC"))</f>
        <v/>
      </c>
      <c r="G43" s="12" t="str">
        <f aca="false">IF(B43="","",COUNTIF('BANG CAN'!$F$8:$F$1007,B43))</f>
        <v/>
      </c>
      <c r="H43" s="4"/>
    </row>
    <row r="44" customFormat="false" ht="15" hidden="false" customHeight="false" outlineLevel="0" collapsed="false">
      <c r="A44" s="12" t="str">
        <f aca="false">IF(B44="","",COUNTA($B$6:B44))</f>
        <v/>
      </c>
      <c r="B44" s="15"/>
      <c r="C44" s="4"/>
      <c r="D44" s="23"/>
      <c r="E44" s="15"/>
      <c r="F44" s="24" t="str">
        <f aca="false">IF(E44="","",IFERROR(INDEX('MA DVVC'!$B$4:$B$53,MATCH(E44,'MA DVVC'!$A$4:$A$53,0)),"Mã chưa có trong MA DVVC"))</f>
        <v/>
      </c>
      <c r="G44" s="12" t="str">
        <f aca="false">IF(B44="","",COUNTIF('BANG CAN'!$F$8:$F$1007,B44))</f>
        <v/>
      </c>
      <c r="H44" s="4"/>
    </row>
    <row r="45" customFormat="false" ht="15" hidden="false" customHeight="false" outlineLevel="0" collapsed="false">
      <c r="A45" s="12" t="str">
        <f aca="false">IF(B45="","",COUNTA($B$6:B45))</f>
        <v/>
      </c>
      <c r="B45" s="15"/>
      <c r="C45" s="4"/>
      <c r="D45" s="23"/>
      <c r="E45" s="15"/>
      <c r="F45" s="24" t="str">
        <f aca="false">IF(E45="","",IFERROR(INDEX('MA DVVC'!$B$4:$B$53,MATCH(E45,'MA DVVC'!$A$4:$A$53,0)),"Mã chưa có trong MA DVVC"))</f>
        <v/>
      </c>
      <c r="G45" s="12" t="str">
        <f aca="false">IF(B45="","",COUNTIF('BANG CAN'!$F$8:$F$1007,B45))</f>
        <v/>
      </c>
      <c r="H45" s="4"/>
    </row>
    <row r="46" customFormat="false" ht="15" hidden="false" customHeight="false" outlineLevel="0" collapsed="false">
      <c r="A46" s="12" t="str">
        <f aca="false">IF(B46="","",COUNTA($B$6:B46))</f>
        <v/>
      </c>
      <c r="B46" s="15"/>
      <c r="C46" s="4"/>
      <c r="D46" s="23"/>
      <c r="E46" s="15"/>
      <c r="F46" s="24" t="str">
        <f aca="false">IF(E46="","",IFERROR(INDEX('MA DVVC'!$B$4:$B$53,MATCH(E46,'MA DVVC'!$A$4:$A$53,0)),"Mã chưa có trong MA DVVC"))</f>
        <v/>
      </c>
      <c r="G46" s="12" t="str">
        <f aca="false">IF(B46="","",COUNTIF('BANG CAN'!$F$8:$F$1007,B46))</f>
        <v/>
      </c>
      <c r="H46" s="4"/>
    </row>
    <row r="47" customFormat="false" ht="15" hidden="false" customHeight="false" outlineLevel="0" collapsed="false">
      <c r="A47" s="12" t="str">
        <f aca="false">IF(B47="","",COUNTA($B$6:B47))</f>
        <v/>
      </c>
      <c r="B47" s="15"/>
      <c r="C47" s="4"/>
      <c r="D47" s="23"/>
      <c r="E47" s="15"/>
      <c r="F47" s="24" t="str">
        <f aca="false">IF(E47="","",IFERROR(INDEX('MA DVVC'!$B$4:$B$53,MATCH(E47,'MA DVVC'!$A$4:$A$53,0)),"Mã chưa có trong MA DVVC"))</f>
        <v/>
      </c>
      <c r="G47" s="12" t="str">
        <f aca="false">IF(B47="","",COUNTIF('BANG CAN'!$F$8:$F$1007,B47))</f>
        <v/>
      </c>
      <c r="H47" s="4"/>
    </row>
    <row r="48" customFormat="false" ht="15" hidden="false" customHeight="false" outlineLevel="0" collapsed="false">
      <c r="A48" s="12" t="str">
        <f aca="false">IF(B48="","",COUNTA($B$6:B48))</f>
        <v/>
      </c>
      <c r="B48" s="15"/>
      <c r="C48" s="4"/>
      <c r="D48" s="23"/>
      <c r="E48" s="15"/>
      <c r="F48" s="24" t="str">
        <f aca="false">IF(E48="","",IFERROR(INDEX('MA DVVC'!$B$4:$B$53,MATCH(E48,'MA DVVC'!$A$4:$A$53,0)),"Mã chưa có trong MA DVVC"))</f>
        <v/>
      </c>
      <c r="G48" s="12" t="str">
        <f aca="false">IF(B48="","",COUNTIF('BANG CAN'!$F$8:$F$1007,B48))</f>
        <v/>
      </c>
      <c r="H48" s="4"/>
    </row>
    <row r="49" customFormat="false" ht="15" hidden="false" customHeight="false" outlineLevel="0" collapsed="false">
      <c r="A49" s="12" t="str">
        <f aca="false">IF(B49="","",COUNTA($B$6:B49))</f>
        <v/>
      </c>
      <c r="B49" s="15"/>
      <c r="C49" s="4"/>
      <c r="D49" s="23"/>
      <c r="E49" s="15"/>
      <c r="F49" s="24" t="str">
        <f aca="false">IF(E49="","",IFERROR(INDEX('MA DVVC'!$B$4:$B$53,MATCH(E49,'MA DVVC'!$A$4:$A$53,0)),"Mã chưa có trong MA DVVC"))</f>
        <v/>
      </c>
      <c r="G49" s="12" t="str">
        <f aca="false">IF(B49="","",COUNTIF('BANG CAN'!$F$8:$F$1007,B49))</f>
        <v/>
      </c>
      <c r="H49" s="4"/>
    </row>
    <row r="50" customFormat="false" ht="15" hidden="false" customHeight="false" outlineLevel="0" collapsed="false">
      <c r="A50" s="12" t="str">
        <f aca="false">IF(B50="","",COUNTA($B$6:B50))</f>
        <v/>
      </c>
      <c r="B50" s="15"/>
      <c r="C50" s="4"/>
      <c r="D50" s="23"/>
      <c r="E50" s="15"/>
      <c r="F50" s="24" t="str">
        <f aca="false">IF(E50="","",IFERROR(INDEX('MA DVVC'!$B$4:$B$53,MATCH(E50,'MA DVVC'!$A$4:$A$53,0)),"Mã chưa có trong MA DVVC"))</f>
        <v/>
      </c>
      <c r="G50" s="12" t="str">
        <f aca="false">IF(B50="","",COUNTIF('BANG CAN'!$F$8:$F$1007,B50))</f>
        <v/>
      </c>
      <c r="H50" s="4"/>
    </row>
    <row r="51" customFormat="false" ht="15" hidden="false" customHeight="false" outlineLevel="0" collapsed="false">
      <c r="A51" s="12" t="str">
        <f aca="false">IF(B51="","",COUNTA($B$6:B51))</f>
        <v/>
      </c>
      <c r="B51" s="15"/>
      <c r="C51" s="4"/>
      <c r="D51" s="23"/>
      <c r="E51" s="15"/>
      <c r="F51" s="24" t="str">
        <f aca="false">IF(E51="","",IFERROR(INDEX('MA DVVC'!$B$4:$B$53,MATCH(E51,'MA DVVC'!$A$4:$A$53,0)),"Mã chưa có trong MA DVVC"))</f>
        <v/>
      </c>
      <c r="G51" s="12" t="str">
        <f aca="false">IF(B51="","",COUNTIF('BANG CAN'!$F$8:$F$1007,B51))</f>
        <v/>
      </c>
      <c r="H51" s="4"/>
    </row>
    <row r="52" customFormat="false" ht="15" hidden="false" customHeight="false" outlineLevel="0" collapsed="false">
      <c r="A52" s="12" t="str">
        <f aca="false">IF(B52="","",COUNTA($B$6:B52))</f>
        <v/>
      </c>
      <c r="B52" s="15"/>
      <c r="C52" s="4"/>
      <c r="D52" s="23"/>
      <c r="E52" s="15"/>
      <c r="F52" s="24" t="str">
        <f aca="false">IF(E52="","",IFERROR(INDEX('MA DVVC'!$B$4:$B$53,MATCH(E52,'MA DVVC'!$A$4:$A$53,0)),"Mã chưa có trong MA DVVC"))</f>
        <v/>
      </c>
      <c r="G52" s="12" t="str">
        <f aca="false">IF(B52="","",COUNTIF('BANG CAN'!$F$8:$F$1007,B52))</f>
        <v/>
      </c>
      <c r="H52" s="4"/>
    </row>
    <row r="53" customFormat="false" ht="15" hidden="false" customHeight="false" outlineLevel="0" collapsed="false">
      <c r="A53" s="12" t="str">
        <f aca="false">IF(B53="","",COUNTA($B$6:B53))</f>
        <v/>
      </c>
      <c r="B53" s="15"/>
      <c r="C53" s="4"/>
      <c r="D53" s="23"/>
      <c r="E53" s="15"/>
      <c r="F53" s="24" t="str">
        <f aca="false">IF(E53="","",IFERROR(INDEX('MA DVVC'!$B$4:$B$53,MATCH(E53,'MA DVVC'!$A$4:$A$53,0)),"Mã chưa có trong MA DVVC"))</f>
        <v/>
      </c>
      <c r="G53" s="12" t="str">
        <f aca="false">IF(B53="","",COUNTIF('BANG CAN'!$F$8:$F$1007,B53))</f>
        <v/>
      </c>
      <c r="H53" s="4"/>
    </row>
    <row r="54" customFormat="false" ht="15" hidden="false" customHeight="false" outlineLevel="0" collapsed="false">
      <c r="A54" s="12" t="str">
        <f aca="false">IF(B54="","",COUNTA($B$6:B54))</f>
        <v/>
      </c>
      <c r="B54" s="15"/>
      <c r="C54" s="4"/>
      <c r="D54" s="23"/>
      <c r="E54" s="15"/>
      <c r="F54" s="24" t="str">
        <f aca="false">IF(E54="","",IFERROR(INDEX('MA DVVC'!$B$4:$B$53,MATCH(E54,'MA DVVC'!$A$4:$A$53,0)),"Mã chưa có trong MA DVVC"))</f>
        <v/>
      </c>
      <c r="G54" s="12" t="str">
        <f aca="false">IF(B54="","",COUNTIF('BANG CAN'!$F$8:$F$1007,B54))</f>
        <v/>
      </c>
      <c r="H54" s="4"/>
    </row>
    <row r="55" customFormat="false" ht="15" hidden="false" customHeight="false" outlineLevel="0" collapsed="false">
      <c r="A55" s="12" t="str">
        <f aca="false">IF(B55="","",COUNTA($B$6:B55))</f>
        <v/>
      </c>
      <c r="B55" s="15"/>
      <c r="C55" s="4"/>
      <c r="D55" s="23"/>
      <c r="E55" s="15"/>
      <c r="F55" s="24" t="str">
        <f aca="false">IF(E55="","",IFERROR(INDEX('MA DVVC'!$B$4:$B$53,MATCH(E55,'MA DVVC'!$A$4:$A$53,0)),"Mã chưa có trong MA DVVC"))</f>
        <v/>
      </c>
      <c r="G55" s="12" t="str">
        <f aca="false">IF(B55="","",COUNTIF('BANG CAN'!$F$8:$F$1007,B55))</f>
        <v/>
      </c>
      <c r="H55" s="4"/>
    </row>
    <row r="56" customFormat="false" ht="15" hidden="false" customHeight="false" outlineLevel="0" collapsed="false">
      <c r="A56" s="12" t="str">
        <f aca="false">IF(B56="","",COUNTA($B$6:B56))</f>
        <v/>
      </c>
      <c r="B56" s="15"/>
      <c r="C56" s="4"/>
      <c r="D56" s="23"/>
      <c r="E56" s="15"/>
      <c r="F56" s="24" t="str">
        <f aca="false">IF(E56="","",IFERROR(INDEX('MA DVVC'!$B$4:$B$53,MATCH(E56,'MA DVVC'!$A$4:$A$53,0)),"Mã chưa có trong MA DVVC"))</f>
        <v/>
      </c>
      <c r="G56" s="12" t="str">
        <f aca="false">IF(B56="","",COUNTIF('BANG CAN'!$F$8:$F$1007,B56))</f>
        <v/>
      </c>
      <c r="H56" s="4"/>
    </row>
    <row r="57" customFormat="false" ht="15" hidden="false" customHeight="false" outlineLevel="0" collapsed="false">
      <c r="A57" s="12" t="str">
        <f aca="false">IF(B57="","",COUNTA($B$6:B57))</f>
        <v/>
      </c>
      <c r="B57" s="15"/>
      <c r="C57" s="4"/>
      <c r="D57" s="23"/>
      <c r="E57" s="15"/>
      <c r="F57" s="24" t="str">
        <f aca="false">IF(E57="","",IFERROR(INDEX('MA DVVC'!$B$4:$B$53,MATCH(E57,'MA DVVC'!$A$4:$A$53,0)),"Mã chưa có trong MA DVVC"))</f>
        <v/>
      </c>
      <c r="G57" s="12" t="str">
        <f aca="false">IF(B57="","",COUNTIF('BANG CAN'!$F$8:$F$1007,B57))</f>
        <v/>
      </c>
      <c r="H57" s="4"/>
    </row>
    <row r="58" customFormat="false" ht="15" hidden="false" customHeight="false" outlineLevel="0" collapsed="false">
      <c r="A58" s="12" t="str">
        <f aca="false">IF(B58="","",COUNTA($B$6:B58))</f>
        <v/>
      </c>
      <c r="B58" s="15"/>
      <c r="C58" s="4"/>
      <c r="D58" s="23"/>
      <c r="E58" s="15"/>
      <c r="F58" s="24" t="str">
        <f aca="false">IF(E58="","",IFERROR(INDEX('MA DVVC'!$B$4:$B$53,MATCH(E58,'MA DVVC'!$A$4:$A$53,0)),"Mã chưa có trong MA DVVC"))</f>
        <v/>
      </c>
      <c r="G58" s="12" t="str">
        <f aca="false">IF(B58="","",COUNTIF('BANG CAN'!$F$8:$F$1007,B58))</f>
        <v/>
      </c>
      <c r="H58" s="4"/>
    </row>
    <row r="59" customFormat="false" ht="15" hidden="false" customHeight="false" outlineLevel="0" collapsed="false">
      <c r="A59" s="12" t="str">
        <f aca="false">IF(B59="","",COUNTA($B$6:B59))</f>
        <v/>
      </c>
      <c r="B59" s="15"/>
      <c r="C59" s="4"/>
      <c r="D59" s="23"/>
      <c r="E59" s="15"/>
      <c r="F59" s="24" t="str">
        <f aca="false">IF(E59="","",IFERROR(INDEX('MA DVVC'!$B$4:$B$53,MATCH(E59,'MA DVVC'!$A$4:$A$53,0)),"Mã chưa có trong MA DVVC"))</f>
        <v/>
      </c>
      <c r="G59" s="12" t="str">
        <f aca="false">IF(B59="","",COUNTIF('BANG CAN'!$F$8:$F$1007,B59))</f>
        <v/>
      </c>
      <c r="H59" s="4"/>
    </row>
    <row r="60" customFormat="false" ht="15" hidden="false" customHeight="false" outlineLevel="0" collapsed="false">
      <c r="A60" s="12" t="str">
        <f aca="false">IF(B60="","",COUNTA($B$6:B60))</f>
        <v/>
      </c>
      <c r="B60" s="15"/>
      <c r="C60" s="4"/>
      <c r="D60" s="23"/>
      <c r="E60" s="15"/>
      <c r="F60" s="24" t="str">
        <f aca="false">IF(E60="","",IFERROR(INDEX('MA DVVC'!$B$4:$B$53,MATCH(E60,'MA DVVC'!$A$4:$A$53,0)),"Mã chưa có trong MA DVVC"))</f>
        <v/>
      </c>
      <c r="G60" s="12" t="str">
        <f aca="false">IF(B60="","",COUNTIF('BANG CAN'!$F$8:$F$1007,B60))</f>
        <v/>
      </c>
      <c r="H60" s="4"/>
    </row>
    <row r="61" customFormat="false" ht="15" hidden="false" customHeight="false" outlineLevel="0" collapsed="false">
      <c r="A61" s="12" t="str">
        <f aca="false">IF(B61="","",COUNTA($B$6:B61))</f>
        <v/>
      </c>
      <c r="B61" s="15"/>
      <c r="C61" s="4"/>
      <c r="D61" s="23"/>
      <c r="E61" s="15"/>
      <c r="F61" s="24" t="str">
        <f aca="false">IF(E61="","",IFERROR(INDEX('MA DVVC'!$B$4:$B$53,MATCH(E61,'MA DVVC'!$A$4:$A$53,0)),"Mã chưa có trong MA DVVC"))</f>
        <v/>
      </c>
      <c r="G61" s="12" t="str">
        <f aca="false">IF(B61="","",COUNTIF('BANG CAN'!$F$8:$F$1007,B61))</f>
        <v/>
      </c>
      <c r="H61" s="4"/>
    </row>
    <row r="62" customFormat="false" ht="15" hidden="false" customHeight="false" outlineLevel="0" collapsed="false">
      <c r="A62" s="12" t="str">
        <f aca="false">IF(B62="","",COUNTA($B$6:B62))</f>
        <v/>
      </c>
      <c r="B62" s="15"/>
      <c r="C62" s="4"/>
      <c r="D62" s="23"/>
      <c r="E62" s="15"/>
      <c r="F62" s="24" t="str">
        <f aca="false">IF(E62="","",IFERROR(INDEX('MA DVVC'!$B$4:$B$53,MATCH(E62,'MA DVVC'!$A$4:$A$53,0)),"Mã chưa có trong MA DVVC"))</f>
        <v/>
      </c>
      <c r="G62" s="12" t="str">
        <f aca="false">IF(B62="","",COUNTIF('BANG CAN'!$F$8:$F$1007,B62))</f>
        <v/>
      </c>
      <c r="H62" s="4"/>
    </row>
    <row r="63" customFormat="false" ht="15" hidden="false" customHeight="false" outlineLevel="0" collapsed="false">
      <c r="A63" s="12" t="str">
        <f aca="false">IF(B63="","",COUNTA($B$6:B63))</f>
        <v/>
      </c>
      <c r="B63" s="15"/>
      <c r="C63" s="4"/>
      <c r="D63" s="23"/>
      <c r="E63" s="15"/>
      <c r="F63" s="24" t="str">
        <f aca="false">IF(E63="","",IFERROR(INDEX('MA DVVC'!$B$4:$B$53,MATCH(E63,'MA DVVC'!$A$4:$A$53,0)),"Mã chưa có trong MA DVVC"))</f>
        <v/>
      </c>
      <c r="G63" s="12" t="str">
        <f aca="false">IF(B63="","",COUNTIF('BANG CAN'!$F$8:$F$1007,B63))</f>
        <v/>
      </c>
      <c r="H63" s="4"/>
    </row>
    <row r="64" customFormat="false" ht="15" hidden="false" customHeight="false" outlineLevel="0" collapsed="false">
      <c r="A64" s="12" t="str">
        <f aca="false">IF(B64="","",COUNTA($B$6:B64))</f>
        <v/>
      </c>
      <c r="B64" s="15"/>
      <c r="C64" s="4"/>
      <c r="D64" s="23"/>
      <c r="E64" s="15"/>
      <c r="F64" s="24" t="str">
        <f aca="false">IF(E64="","",IFERROR(INDEX('MA DVVC'!$B$4:$B$53,MATCH(E64,'MA DVVC'!$A$4:$A$53,0)),"Mã chưa có trong MA DVVC"))</f>
        <v/>
      </c>
      <c r="G64" s="12" t="str">
        <f aca="false">IF(B64="","",COUNTIF('BANG CAN'!$F$8:$F$1007,B64))</f>
        <v/>
      </c>
      <c r="H64" s="4"/>
    </row>
    <row r="65" customFormat="false" ht="15" hidden="false" customHeight="false" outlineLevel="0" collapsed="false">
      <c r="A65" s="12" t="str">
        <f aca="false">IF(B65="","",COUNTA($B$6:B65))</f>
        <v/>
      </c>
      <c r="B65" s="15"/>
      <c r="C65" s="4"/>
      <c r="D65" s="23"/>
      <c r="E65" s="15"/>
      <c r="F65" s="24" t="str">
        <f aca="false">IF(E65="","",IFERROR(INDEX('MA DVVC'!$B$4:$B$53,MATCH(E65,'MA DVVC'!$A$4:$A$53,0)),"Mã chưa có trong MA DVVC"))</f>
        <v/>
      </c>
      <c r="G65" s="12" t="str">
        <f aca="false">IF(B65="","",COUNTIF('BANG CAN'!$F$8:$F$1007,B65))</f>
        <v/>
      </c>
      <c r="H65" s="4"/>
    </row>
    <row r="66" customFormat="false" ht="15" hidden="false" customHeight="false" outlineLevel="0" collapsed="false">
      <c r="A66" s="12" t="str">
        <f aca="false">IF(B66="","",COUNTA($B$6:B66))</f>
        <v/>
      </c>
      <c r="B66" s="15"/>
      <c r="C66" s="4"/>
      <c r="D66" s="23"/>
      <c r="E66" s="15"/>
      <c r="F66" s="24" t="str">
        <f aca="false">IF(E66="","",IFERROR(INDEX('MA DVVC'!$B$4:$B$53,MATCH(E66,'MA DVVC'!$A$4:$A$53,0)),"Mã chưa có trong MA DVVC"))</f>
        <v/>
      </c>
      <c r="G66" s="12" t="str">
        <f aca="false">IF(B66="","",COUNTIF('BANG CAN'!$F$8:$F$1007,B66))</f>
        <v/>
      </c>
      <c r="H66" s="4"/>
    </row>
    <row r="67" customFormat="false" ht="15" hidden="false" customHeight="false" outlineLevel="0" collapsed="false">
      <c r="A67" s="12" t="str">
        <f aca="false">IF(B67="","",COUNTA($B$6:B67))</f>
        <v/>
      </c>
      <c r="B67" s="15"/>
      <c r="C67" s="4"/>
      <c r="D67" s="23"/>
      <c r="E67" s="15"/>
      <c r="F67" s="24" t="str">
        <f aca="false">IF(E67="","",IFERROR(INDEX('MA DVVC'!$B$4:$B$53,MATCH(E67,'MA DVVC'!$A$4:$A$53,0)),"Mã chưa có trong MA DVVC"))</f>
        <v/>
      </c>
      <c r="G67" s="12" t="str">
        <f aca="false">IF(B67="","",COUNTIF('BANG CAN'!$F$8:$F$1007,B67))</f>
        <v/>
      </c>
      <c r="H67" s="4"/>
    </row>
    <row r="68" customFormat="false" ht="15" hidden="false" customHeight="false" outlineLevel="0" collapsed="false">
      <c r="A68" s="12" t="str">
        <f aca="false">IF(B68="","",COUNTA($B$6:B68))</f>
        <v/>
      </c>
      <c r="B68" s="15"/>
      <c r="C68" s="4"/>
      <c r="D68" s="23"/>
      <c r="E68" s="15"/>
      <c r="F68" s="24" t="str">
        <f aca="false">IF(E68="","",IFERROR(INDEX('MA DVVC'!$B$4:$B$53,MATCH(E68,'MA DVVC'!$A$4:$A$53,0)),"Mã chưa có trong MA DVVC"))</f>
        <v/>
      </c>
      <c r="G68" s="12" t="str">
        <f aca="false">IF(B68="","",COUNTIF('BANG CAN'!$F$8:$F$1007,B68))</f>
        <v/>
      </c>
      <c r="H68" s="4"/>
    </row>
    <row r="69" customFormat="false" ht="15" hidden="false" customHeight="false" outlineLevel="0" collapsed="false">
      <c r="A69" s="12" t="str">
        <f aca="false">IF(B69="","",COUNTA($B$6:B69))</f>
        <v/>
      </c>
      <c r="B69" s="15"/>
      <c r="C69" s="4"/>
      <c r="D69" s="23"/>
      <c r="E69" s="15"/>
      <c r="F69" s="24" t="str">
        <f aca="false">IF(E69="","",IFERROR(INDEX('MA DVVC'!$B$4:$B$53,MATCH(E69,'MA DVVC'!$A$4:$A$53,0)),"Mã chưa có trong MA DVVC"))</f>
        <v/>
      </c>
      <c r="G69" s="12" t="str">
        <f aca="false">IF(B69="","",COUNTIF('BANG CAN'!$F$8:$F$1007,B69))</f>
        <v/>
      </c>
      <c r="H69" s="4"/>
    </row>
    <row r="70" customFormat="false" ht="15" hidden="false" customHeight="false" outlineLevel="0" collapsed="false">
      <c r="A70" s="12" t="str">
        <f aca="false">IF(B70="","",COUNTA($B$6:B70))</f>
        <v/>
      </c>
      <c r="B70" s="15"/>
      <c r="C70" s="4"/>
      <c r="D70" s="23"/>
      <c r="E70" s="15"/>
      <c r="F70" s="24" t="str">
        <f aca="false">IF(E70="","",IFERROR(INDEX('MA DVVC'!$B$4:$B$53,MATCH(E70,'MA DVVC'!$A$4:$A$53,0)),"Mã chưa có trong MA DVVC"))</f>
        <v/>
      </c>
      <c r="G70" s="12" t="str">
        <f aca="false">IF(B70="","",COUNTIF('BANG CAN'!$F$8:$F$1007,B70))</f>
        <v/>
      </c>
      <c r="H70" s="4"/>
    </row>
    <row r="71" customFormat="false" ht="15" hidden="false" customHeight="false" outlineLevel="0" collapsed="false">
      <c r="A71" s="12" t="str">
        <f aca="false">IF(B71="","",COUNTA($B$6:B71))</f>
        <v/>
      </c>
      <c r="B71" s="15"/>
      <c r="C71" s="4"/>
      <c r="D71" s="23"/>
      <c r="E71" s="15"/>
      <c r="F71" s="24" t="str">
        <f aca="false">IF(E71="","",IFERROR(INDEX('MA DVVC'!$B$4:$B$53,MATCH(E71,'MA DVVC'!$A$4:$A$53,0)),"Mã chưa có trong MA DVVC"))</f>
        <v/>
      </c>
      <c r="G71" s="12" t="str">
        <f aca="false">IF(B71="","",COUNTIF('BANG CAN'!$F$8:$F$1007,B71))</f>
        <v/>
      </c>
      <c r="H71" s="4"/>
    </row>
    <row r="72" customFormat="false" ht="15" hidden="false" customHeight="false" outlineLevel="0" collapsed="false">
      <c r="A72" s="12" t="str">
        <f aca="false">IF(B72="","",COUNTA($B$6:B72))</f>
        <v/>
      </c>
      <c r="B72" s="15"/>
      <c r="C72" s="4"/>
      <c r="D72" s="23"/>
      <c r="E72" s="15"/>
      <c r="F72" s="24" t="str">
        <f aca="false">IF(E72="","",IFERROR(INDEX('MA DVVC'!$B$4:$B$53,MATCH(E72,'MA DVVC'!$A$4:$A$53,0)),"Mã chưa có trong MA DVVC"))</f>
        <v/>
      </c>
      <c r="G72" s="12" t="str">
        <f aca="false">IF(B72="","",COUNTIF('BANG CAN'!$F$8:$F$1007,B72))</f>
        <v/>
      </c>
      <c r="H72" s="4"/>
    </row>
    <row r="73" customFormat="false" ht="15" hidden="false" customHeight="false" outlineLevel="0" collapsed="false">
      <c r="A73" s="12" t="str">
        <f aca="false">IF(B73="","",COUNTA($B$6:B73))</f>
        <v/>
      </c>
      <c r="B73" s="15"/>
      <c r="C73" s="4"/>
      <c r="D73" s="23"/>
      <c r="E73" s="15"/>
      <c r="F73" s="24" t="str">
        <f aca="false">IF(E73="","",IFERROR(INDEX('MA DVVC'!$B$4:$B$53,MATCH(E73,'MA DVVC'!$A$4:$A$53,0)),"Mã chưa có trong MA DVVC"))</f>
        <v/>
      </c>
      <c r="G73" s="12" t="str">
        <f aca="false">IF(B73="","",COUNTIF('BANG CAN'!$F$8:$F$1007,B73))</f>
        <v/>
      </c>
      <c r="H73" s="4"/>
    </row>
    <row r="74" customFormat="false" ht="15" hidden="false" customHeight="false" outlineLevel="0" collapsed="false">
      <c r="A74" s="12" t="str">
        <f aca="false">IF(B74="","",COUNTA($B$6:B74))</f>
        <v/>
      </c>
      <c r="B74" s="15"/>
      <c r="C74" s="4"/>
      <c r="D74" s="23"/>
      <c r="E74" s="15"/>
      <c r="F74" s="24" t="str">
        <f aca="false">IF(E74="","",IFERROR(INDEX('MA DVVC'!$B$4:$B$53,MATCH(E74,'MA DVVC'!$A$4:$A$53,0)),"Mã chưa có trong MA DVVC"))</f>
        <v/>
      </c>
      <c r="G74" s="12" t="str">
        <f aca="false">IF(B74="","",COUNTIF('BANG CAN'!$F$8:$F$1007,B74))</f>
        <v/>
      </c>
      <c r="H74" s="4"/>
    </row>
    <row r="75" customFormat="false" ht="15" hidden="false" customHeight="false" outlineLevel="0" collapsed="false">
      <c r="A75" s="12" t="str">
        <f aca="false">IF(B75="","",COUNTA($B$6:B75))</f>
        <v/>
      </c>
      <c r="B75" s="15"/>
      <c r="C75" s="4"/>
      <c r="D75" s="23"/>
      <c r="E75" s="15"/>
      <c r="F75" s="24" t="str">
        <f aca="false">IF(E75="","",IFERROR(INDEX('MA DVVC'!$B$4:$B$53,MATCH(E75,'MA DVVC'!$A$4:$A$53,0)),"Mã chưa có trong MA DVVC"))</f>
        <v/>
      </c>
      <c r="G75" s="12" t="str">
        <f aca="false">IF(B75="","",COUNTIF('BANG CAN'!$F$8:$F$1007,B75))</f>
        <v/>
      </c>
      <c r="H75" s="4"/>
    </row>
    <row r="76" customFormat="false" ht="15" hidden="false" customHeight="false" outlineLevel="0" collapsed="false">
      <c r="A76" s="12" t="str">
        <f aca="false">IF(B76="","",COUNTA($B$6:B76))</f>
        <v/>
      </c>
      <c r="B76" s="15"/>
      <c r="C76" s="4"/>
      <c r="D76" s="23"/>
      <c r="E76" s="15"/>
      <c r="F76" s="24" t="str">
        <f aca="false">IF(E76="","",IFERROR(INDEX('MA DVVC'!$B$4:$B$53,MATCH(E76,'MA DVVC'!$A$4:$A$53,0)),"Mã chưa có trong MA DVVC"))</f>
        <v/>
      </c>
      <c r="G76" s="12" t="str">
        <f aca="false">IF(B76="","",COUNTIF('BANG CAN'!$F$8:$F$1007,B76))</f>
        <v/>
      </c>
      <c r="H76" s="4"/>
    </row>
    <row r="77" customFormat="false" ht="15" hidden="false" customHeight="false" outlineLevel="0" collapsed="false">
      <c r="A77" s="12" t="str">
        <f aca="false">IF(B77="","",COUNTA($B$6:B77))</f>
        <v/>
      </c>
      <c r="B77" s="15"/>
      <c r="C77" s="4"/>
      <c r="D77" s="23"/>
      <c r="E77" s="15"/>
      <c r="F77" s="24" t="str">
        <f aca="false">IF(E77="","",IFERROR(INDEX('MA DVVC'!$B$4:$B$53,MATCH(E77,'MA DVVC'!$A$4:$A$53,0)),"Mã chưa có trong MA DVVC"))</f>
        <v/>
      </c>
      <c r="G77" s="12" t="str">
        <f aca="false">IF(B77="","",COUNTIF('BANG CAN'!$F$8:$F$1007,B77))</f>
        <v/>
      </c>
      <c r="H77" s="4"/>
    </row>
    <row r="78" customFormat="false" ht="15" hidden="false" customHeight="false" outlineLevel="0" collapsed="false">
      <c r="A78" s="12" t="str">
        <f aca="false">IF(B78="","",COUNTA($B$6:B78))</f>
        <v/>
      </c>
      <c r="B78" s="15"/>
      <c r="C78" s="4"/>
      <c r="D78" s="23"/>
      <c r="E78" s="15"/>
      <c r="F78" s="24" t="str">
        <f aca="false">IF(E78="","",IFERROR(INDEX('MA DVVC'!$B$4:$B$53,MATCH(E78,'MA DVVC'!$A$4:$A$53,0)),"Mã chưa có trong MA DVVC"))</f>
        <v/>
      </c>
      <c r="G78" s="12" t="str">
        <f aca="false">IF(B78="","",COUNTIF('BANG CAN'!$F$8:$F$1007,B78))</f>
        <v/>
      </c>
      <c r="H78" s="4"/>
    </row>
    <row r="79" customFormat="false" ht="15" hidden="false" customHeight="false" outlineLevel="0" collapsed="false">
      <c r="A79" s="12" t="str">
        <f aca="false">IF(B79="","",COUNTA($B$6:B79))</f>
        <v/>
      </c>
      <c r="B79" s="15"/>
      <c r="C79" s="4"/>
      <c r="D79" s="23"/>
      <c r="E79" s="15"/>
      <c r="F79" s="24" t="str">
        <f aca="false">IF(E79="","",IFERROR(INDEX('MA DVVC'!$B$4:$B$53,MATCH(E79,'MA DVVC'!$A$4:$A$53,0)),"Mã chưa có trong MA DVVC"))</f>
        <v/>
      </c>
      <c r="G79" s="12" t="str">
        <f aca="false">IF(B79="","",COUNTIF('BANG CAN'!$F$8:$F$1007,B79))</f>
        <v/>
      </c>
      <c r="H79" s="4"/>
    </row>
    <row r="80" customFormat="false" ht="15" hidden="false" customHeight="false" outlineLevel="0" collapsed="false">
      <c r="A80" s="12" t="str">
        <f aca="false">IF(B80="","",COUNTA($B$6:B80))</f>
        <v/>
      </c>
      <c r="B80" s="15"/>
      <c r="C80" s="4"/>
      <c r="D80" s="23"/>
      <c r="E80" s="15"/>
      <c r="F80" s="24" t="str">
        <f aca="false">IF(E80="","",IFERROR(INDEX('MA DVVC'!$B$4:$B$53,MATCH(E80,'MA DVVC'!$A$4:$A$53,0)),"Mã chưa có trong MA DVVC"))</f>
        <v/>
      </c>
      <c r="G80" s="12" t="str">
        <f aca="false">IF(B80="","",COUNTIF('BANG CAN'!$F$8:$F$1007,B80))</f>
        <v/>
      </c>
      <c r="H80" s="4"/>
    </row>
    <row r="81" customFormat="false" ht="15" hidden="false" customHeight="false" outlineLevel="0" collapsed="false">
      <c r="A81" s="12" t="str">
        <f aca="false">IF(B81="","",COUNTA($B$6:B81))</f>
        <v/>
      </c>
      <c r="B81" s="15"/>
      <c r="C81" s="4"/>
      <c r="D81" s="23"/>
      <c r="E81" s="15"/>
      <c r="F81" s="24" t="str">
        <f aca="false">IF(E81="","",IFERROR(INDEX('MA DVVC'!$B$4:$B$53,MATCH(E81,'MA DVVC'!$A$4:$A$53,0)),"Mã chưa có trong MA DVVC"))</f>
        <v/>
      </c>
      <c r="G81" s="12" t="str">
        <f aca="false">IF(B81="","",COUNTIF('BANG CAN'!$F$8:$F$1007,B81))</f>
        <v/>
      </c>
      <c r="H81" s="4"/>
    </row>
    <row r="82" customFormat="false" ht="15" hidden="false" customHeight="false" outlineLevel="0" collapsed="false">
      <c r="A82" s="12" t="str">
        <f aca="false">IF(B82="","",COUNTA($B$6:B82))</f>
        <v/>
      </c>
      <c r="B82" s="15"/>
      <c r="C82" s="4"/>
      <c r="D82" s="23"/>
      <c r="E82" s="15"/>
      <c r="F82" s="24" t="str">
        <f aca="false">IF(E82="","",IFERROR(INDEX('MA DVVC'!$B$4:$B$53,MATCH(E82,'MA DVVC'!$A$4:$A$53,0)),"Mã chưa có trong MA DVVC"))</f>
        <v/>
      </c>
      <c r="G82" s="12" t="str">
        <f aca="false">IF(B82="","",COUNTIF('BANG CAN'!$F$8:$F$1007,B82))</f>
        <v/>
      </c>
      <c r="H82" s="4"/>
    </row>
    <row r="83" customFormat="false" ht="15" hidden="false" customHeight="false" outlineLevel="0" collapsed="false">
      <c r="A83" s="12" t="str">
        <f aca="false">IF(B83="","",COUNTA($B$6:B83))</f>
        <v/>
      </c>
      <c r="B83" s="15"/>
      <c r="C83" s="4"/>
      <c r="D83" s="23"/>
      <c r="E83" s="15"/>
      <c r="F83" s="24" t="str">
        <f aca="false">IF(E83="","",IFERROR(INDEX('MA DVVC'!$B$4:$B$53,MATCH(E83,'MA DVVC'!$A$4:$A$53,0)),"Mã chưa có trong MA DVVC"))</f>
        <v/>
      </c>
      <c r="G83" s="12" t="str">
        <f aca="false">IF(B83="","",COUNTIF('BANG CAN'!$F$8:$F$1007,B83))</f>
        <v/>
      </c>
      <c r="H83" s="4"/>
    </row>
    <row r="84" customFormat="false" ht="15" hidden="false" customHeight="false" outlineLevel="0" collapsed="false">
      <c r="A84" s="12" t="str">
        <f aca="false">IF(B84="","",COUNTA($B$6:B84))</f>
        <v/>
      </c>
      <c r="B84" s="15"/>
      <c r="C84" s="4"/>
      <c r="D84" s="23"/>
      <c r="E84" s="15"/>
      <c r="F84" s="24" t="str">
        <f aca="false">IF(E84="","",IFERROR(INDEX('MA DVVC'!$B$4:$B$53,MATCH(E84,'MA DVVC'!$A$4:$A$53,0)),"Mã chưa có trong MA DVVC"))</f>
        <v/>
      </c>
      <c r="G84" s="12" t="str">
        <f aca="false">IF(B84="","",COUNTIF('BANG CAN'!$F$8:$F$1007,B84))</f>
        <v/>
      </c>
      <c r="H84" s="4"/>
    </row>
    <row r="85" customFormat="false" ht="15" hidden="false" customHeight="false" outlineLevel="0" collapsed="false">
      <c r="A85" s="12" t="str">
        <f aca="false">IF(B85="","",COUNTA($B$6:B85))</f>
        <v/>
      </c>
      <c r="B85" s="15"/>
      <c r="C85" s="4"/>
      <c r="D85" s="23"/>
      <c r="E85" s="15"/>
      <c r="F85" s="24" t="str">
        <f aca="false">IF(E85="","",IFERROR(INDEX('MA DVVC'!$B$4:$B$53,MATCH(E85,'MA DVVC'!$A$4:$A$53,0)),"Mã chưa có trong MA DVVC"))</f>
        <v/>
      </c>
      <c r="G85" s="12" t="str">
        <f aca="false">IF(B85="","",COUNTIF('BANG CAN'!$F$8:$F$1007,B85))</f>
        <v/>
      </c>
      <c r="H85" s="4"/>
    </row>
    <row r="86" customFormat="false" ht="15" hidden="false" customHeight="false" outlineLevel="0" collapsed="false">
      <c r="A86" s="12" t="str">
        <f aca="false">IF(B86="","",COUNTA($B$6:B86))</f>
        <v/>
      </c>
      <c r="B86" s="15"/>
      <c r="C86" s="4"/>
      <c r="D86" s="23"/>
      <c r="E86" s="15"/>
      <c r="F86" s="24" t="str">
        <f aca="false">IF(E86="","",IFERROR(INDEX('MA DVVC'!$B$4:$B$53,MATCH(E86,'MA DVVC'!$A$4:$A$53,0)),"Mã chưa có trong MA DVVC"))</f>
        <v/>
      </c>
      <c r="G86" s="12" t="str">
        <f aca="false">IF(B86="","",COUNTIF('BANG CAN'!$F$8:$F$1007,B86))</f>
        <v/>
      </c>
      <c r="H86" s="4"/>
    </row>
    <row r="87" customFormat="false" ht="15" hidden="false" customHeight="false" outlineLevel="0" collapsed="false">
      <c r="A87" s="12" t="str">
        <f aca="false">IF(B87="","",COUNTA($B$6:B87))</f>
        <v/>
      </c>
      <c r="B87" s="15"/>
      <c r="C87" s="4"/>
      <c r="D87" s="23"/>
      <c r="E87" s="15"/>
      <c r="F87" s="24" t="str">
        <f aca="false">IF(E87="","",IFERROR(INDEX('MA DVVC'!$B$4:$B$53,MATCH(E87,'MA DVVC'!$A$4:$A$53,0)),"Mã chưa có trong MA DVVC"))</f>
        <v/>
      </c>
      <c r="G87" s="12" t="str">
        <f aca="false">IF(B87="","",COUNTIF('BANG CAN'!$F$8:$F$1007,B87))</f>
        <v/>
      </c>
      <c r="H87" s="4"/>
    </row>
    <row r="88" customFormat="false" ht="15" hidden="false" customHeight="false" outlineLevel="0" collapsed="false">
      <c r="A88" s="12" t="str">
        <f aca="false">IF(B88="","",COUNTA($B$6:B88))</f>
        <v/>
      </c>
      <c r="B88" s="15"/>
      <c r="C88" s="4"/>
      <c r="D88" s="23"/>
      <c r="E88" s="15"/>
      <c r="F88" s="24" t="str">
        <f aca="false">IF(E88="","",IFERROR(INDEX('MA DVVC'!$B$4:$B$53,MATCH(E88,'MA DVVC'!$A$4:$A$53,0)),"Mã chưa có trong MA DVVC"))</f>
        <v/>
      </c>
      <c r="G88" s="12" t="str">
        <f aca="false">IF(B88="","",COUNTIF('BANG CAN'!$F$8:$F$1007,B88))</f>
        <v/>
      </c>
      <c r="H88" s="4"/>
    </row>
    <row r="89" customFormat="false" ht="15" hidden="false" customHeight="false" outlineLevel="0" collapsed="false">
      <c r="A89" s="12" t="str">
        <f aca="false">IF(B89="","",COUNTA($B$6:B89))</f>
        <v/>
      </c>
      <c r="B89" s="15"/>
      <c r="C89" s="4"/>
      <c r="D89" s="23"/>
      <c r="E89" s="15"/>
      <c r="F89" s="24" t="str">
        <f aca="false">IF(E89="","",IFERROR(INDEX('MA DVVC'!$B$4:$B$53,MATCH(E89,'MA DVVC'!$A$4:$A$53,0)),"Mã chưa có trong MA DVVC"))</f>
        <v/>
      </c>
      <c r="G89" s="12" t="str">
        <f aca="false">IF(B89="","",COUNTIF('BANG CAN'!$F$8:$F$1007,B89))</f>
        <v/>
      </c>
      <c r="H89" s="4"/>
    </row>
    <row r="90" customFormat="false" ht="15" hidden="false" customHeight="false" outlineLevel="0" collapsed="false">
      <c r="A90" s="12" t="str">
        <f aca="false">IF(B90="","",COUNTA($B$6:B90))</f>
        <v/>
      </c>
      <c r="B90" s="15"/>
      <c r="C90" s="4"/>
      <c r="D90" s="23"/>
      <c r="E90" s="15"/>
      <c r="F90" s="24" t="str">
        <f aca="false">IF(E90="","",IFERROR(INDEX('MA DVVC'!$B$4:$B$53,MATCH(E90,'MA DVVC'!$A$4:$A$53,0)),"Mã chưa có trong MA DVVC"))</f>
        <v/>
      </c>
      <c r="G90" s="12" t="str">
        <f aca="false">IF(B90="","",COUNTIF('BANG CAN'!$F$8:$F$1007,B90))</f>
        <v/>
      </c>
      <c r="H90" s="4"/>
    </row>
    <row r="91" customFormat="false" ht="15" hidden="false" customHeight="false" outlineLevel="0" collapsed="false">
      <c r="A91" s="12" t="str">
        <f aca="false">IF(B91="","",COUNTA($B$6:B91))</f>
        <v/>
      </c>
      <c r="B91" s="15"/>
      <c r="C91" s="4"/>
      <c r="D91" s="23"/>
      <c r="E91" s="15"/>
      <c r="F91" s="24" t="str">
        <f aca="false">IF(E91="","",IFERROR(INDEX('MA DVVC'!$B$4:$B$53,MATCH(E91,'MA DVVC'!$A$4:$A$53,0)),"Mã chưa có trong MA DVVC"))</f>
        <v/>
      </c>
      <c r="G91" s="12" t="str">
        <f aca="false">IF(B91="","",COUNTIF('BANG CAN'!$F$8:$F$1007,B91))</f>
        <v/>
      </c>
      <c r="H91" s="4"/>
    </row>
    <row r="92" customFormat="false" ht="15" hidden="false" customHeight="false" outlineLevel="0" collapsed="false">
      <c r="A92" s="12" t="str">
        <f aca="false">IF(B92="","",COUNTA($B$6:B92))</f>
        <v/>
      </c>
      <c r="B92" s="15"/>
      <c r="C92" s="4"/>
      <c r="D92" s="23"/>
      <c r="E92" s="15"/>
      <c r="F92" s="24" t="str">
        <f aca="false">IF(E92="","",IFERROR(INDEX('MA DVVC'!$B$4:$B$53,MATCH(E92,'MA DVVC'!$A$4:$A$53,0)),"Mã chưa có trong MA DVVC"))</f>
        <v/>
      </c>
      <c r="G92" s="12" t="str">
        <f aca="false">IF(B92="","",COUNTIF('BANG CAN'!$F$8:$F$1007,B92))</f>
        <v/>
      </c>
      <c r="H92" s="4"/>
    </row>
    <row r="93" customFormat="false" ht="15" hidden="false" customHeight="false" outlineLevel="0" collapsed="false">
      <c r="A93" s="12" t="str">
        <f aca="false">IF(B93="","",COUNTA($B$6:B93))</f>
        <v/>
      </c>
      <c r="B93" s="15"/>
      <c r="C93" s="4"/>
      <c r="D93" s="23"/>
      <c r="E93" s="15"/>
      <c r="F93" s="24" t="str">
        <f aca="false">IF(E93="","",IFERROR(INDEX('MA DVVC'!$B$4:$B$53,MATCH(E93,'MA DVVC'!$A$4:$A$53,0)),"Mã chưa có trong MA DVVC"))</f>
        <v/>
      </c>
      <c r="G93" s="12" t="str">
        <f aca="false">IF(B93="","",COUNTIF('BANG CAN'!$F$8:$F$1007,B93))</f>
        <v/>
      </c>
      <c r="H93" s="4"/>
    </row>
    <row r="94" customFormat="false" ht="15" hidden="false" customHeight="false" outlineLevel="0" collapsed="false">
      <c r="A94" s="12" t="str">
        <f aca="false">IF(B94="","",COUNTA($B$6:B94))</f>
        <v/>
      </c>
      <c r="B94" s="15"/>
      <c r="C94" s="4"/>
      <c r="D94" s="23"/>
      <c r="E94" s="15"/>
      <c r="F94" s="24" t="str">
        <f aca="false">IF(E94="","",IFERROR(INDEX('MA DVVC'!$B$4:$B$53,MATCH(E94,'MA DVVC'!$A$4:$A$53,0)),"Mã chưa có trong MA DVVC"))</f>
        <v/>
      </c>
      <c r="G94" s="12" t="str">
        <f aca="false">IF(B94="","",COUNTIF('BANG CAN'!$F$8:$F$1007,B94))</f>
        <v/>
      </c>
      <c r="H94" s="4"/>
    </row>
    <row r="95" customFormat="false" ht="15" hidden="false" customHeight="false" outlineLevel="0" collapsed="false">
      <c r="A95" s="12" t="str">
        <f aca="false">IF(B95="","",COUNTA($B$6:B95))</f>
        <v/>
      </c>
      <c r="B95" s="15"/>
      <c r="C95" s="4"/>
      <c r="D95" s="23"/>
      <c r="E95" s="15"/>
      <c r="F95" s="24" t="str">
        <f aca="false">IF(E95="","",IFERROR(INDEX('MA DVVC'!$B$4:$B$53,MATCH(E95,'MA DVVC'!$A$4:$A$53,0)),"Mã chưa có trong MA DVVC"))</f>
        <v/>
      </c>
      <c r="G95" s="12" t="str">
        <f aca="false">IF(B95="","",COUNTIF('BANG CAN'!$F$8:$F$1007,B95))</f>
        <v/>
      </c>
      <c r="H95" s="4"/>
    </row>
    <row r="96" customFormat="false" ht="15" hidden="false" customHeight="false" outlineLevel="0" collapsed="false">
      <c r="A96" s="12" t="str">
        <f aca="false">IF(B96="","",COUNTA($B$6:B96))</f>
        <v/>
      </c>
      <c r="B96" s="15"/>
      <c r="C96" s="4"/>
      <c r="D96" s="23"/>
      <c r="E96" s="15"/>
      <c r="F96" s="24" t="str">
        <f aca="false">IF(E96="","",IFERROR(INDEX('MA DVVC'!$B$4:$B$53,MATCH(E96,'MA DVVC'!$A$4:$A$53,0)),"Mã chưa có trong MA DVVC"))</f>
        <v/>
      </c>
      <c r="G96" s="12" t="str">
        <f aca="false">IF(B96="","",COUNTIF('BANG CAN'!$F$8:$F$1007,B96))</f>
        <v/>
      </c>
      <c r="H96" s="4"/>
    </row>
    <row r="97" customFormat="false" ht="15" hidden="false" customHeight="false" outlineLevel="0" collapsed="false">
      <c r="A97" s="12" t="str">
        <f aca="false">IF(B97="","",COUNTA($B$6:B97))</f>
        <v/>
      </c>
      <c r="B97" s="15"/>
      <c r="C97" s="4"/>
      <c r="D97" s="23"/>
      <c r="E97" s="15"/>
      <c r="F97" s="24" t="str">
        <f aca="false">IF(E97="","",IFERROR(INDEX('MA DVVC'!$B$4:$B$53,MATCH(E97,'MA DVVC'!$A$4:$A$53,0)),"Mã chưa có trong MA DVVC"))</f>
        <v/>
      </c>
      <c r="G97" s="12" t="str">
        <f aca="false">IF(B97="","",COUNTIF('BANG CAN'!$F$8:$F$1007,B97))</f>
        <v/>
      </c>
      <c r="H97" s="4"/>
    </row>
    <row r="98" customFormat="false" ht="15" hidden="false" customHeight="false" outlineLevel="0" collapsed="false">
      <c r="A98" s="12" t="str">
        <f aca="false">IF(B98="","",COUNTA($B$6:B98))</f>
        <v/>
      </c>
      <c r="B98" s="15"/>
      <c r="C98" s="4"/>
      <c r="D98" s="23"/>
      <c r="E98" s="15"/>
      <c r="F98" s="24" t="str">
        <f aca="false">IF(E98="","",IFERROR(INDEX('MA DVVC'!$B$4:$B$53,MATCH(E98,'MA DVVC'!$A$4:$A$53,0)),"Mã chưa có trong MA DVVC"))</f>
        <v/>
      </c>
      <c r="G98" s="12" t="str">
        <f aca="false">IF(B98="","",COUNTIF('BANG CAN'!$F$8:$F$1007,B98))</f>
        <v/>
      </c>
      <c r="H98" s="4"/>
    </row>
    <row r="99" customFormat="false" ht="15" hidden="false" customHeight="false" outlineLevel="0" collapsed="false">
      <c r="A99" s="12" t="str">
        <f aca="false">IF(B99="","",COUNTA($B$6:B99))</f>
        <v/>
      </c>
      <c r="B99" s="15"/>
      <c r="C99" s="4"/>
      <c r="D99" s="23"/>
      <c r="E99" s="15"/>
      <c r="F99" s="24" t="str">
        <f aca="false">IF(E99="","",IFERROR(INDEX('MA DVVC'!$B$4:$B$53,MATCH(E99,'MA DVVC'!$A$4:$A$53,0)),"Mã chưa có trong MA DVVC"))</f>
        <v/>
      </c>
      <c r="G99" s="12" t="str">
        <f aca="false">IF(B99="","",COUNTIF('BANG CAN'!$F$8:$F$1007,B99))</f>
        <v/>
      </c>
      <c r="H99" s="4"/>
    </row>
    <row r="100" customFormat="false" ht="15" hidden="false" customHeight="false" outlineLevel="0" collapsed="false">
      <c r="A100" s="12" t="str">
        <f aca="false">IF(B100="","",COUNTA($B$6:B100))</f>
        <v/>
      </c>
      <c r="B100" s="15"/>
      <c r="C100" s="4"/>
      <c r="D100" s="23"/>
      <c r="E100" s="15"/>
      <c r="F100" s="24" t="str">
        <f aca="false">IF(E100="","",IFERROR(INDEX('MA DVVC'!$B$4:$B$53,MATCH(E100,'MA DVVC'!$A$4:$A$53,0)),"Mã chưa có trong MA DVVC"))</f>
        <v/>
      </c>
      <c r="G100" s="12" t="str">
        <f aca="false">IF(B100="","",COUNTIF('BANG CAN'!$F$8:$F$1007,B100))</f>
        <v/>
      </c>
      <c r="H100" s="4"/>
    </row>
    <row r="101" customFormat="false" ht="15" hidden="false" customHeight="false" outlineLevel="0" collapsed="false">
      <c r="A101" s="12" t="str">
        <f aca="false">IF(B101="","",COUNTA($B$6:B101))</f>
        <v/>
      </c>
      <c r="B101" s="15"/>
      <c r="C101" s="4"/>
      <c r="D101" s="23"/>
      <c r="E101" s="15"/>
      <c r="F101" s="24" t="str">
        <f aca="false">IF(E101="","",IFERROR(INDEX('MA DVVC'!$B$4:$B$53,MATCH(E101,'MA DVVC'!$A$4:$A$53,0)),"Mã chưa có trong MA DVVC"))</f>
        <v/>
      </c>
      <c r="G101" s="12" t="str">
        <f aca="false">IF(B101="","",COUNTIF('BANG CAN'!$F$8:$F$1007,B101))</f>
        <v/>
      </c>
      <c r="H101" s="4"/>
    </row>
    <row r="102" customFormat="false" ht="15" hidden="false" customHeight="false" outlineLevel="0" collapsed="false">
      <c r="A102" s="12" t="str">
        <f aca="false">IF(B102="","",COUNTA($B$6:B102))</f>
        <v/>
      </c>
      <c r="B102" s="15"/>
      <c r="C102" s="4"/>
      <c r="D102" s="23"/>
      <c r="E102" s="15"/>
      <c r="F102" s="24" t="str">
        <f aca="false">IF(E102="","",IFERROR(INDEX('MA DVVC'!$B$4:$B$53,MATCH(E102,'MA DVVC'!$A$4:$A$53,0)),"Mã chưa có trong MA DVVC"))</f>
        <v/>
      </c>
      <c r="G102" s="12" t="str">
        <f aca="false">IF(B102="","",COUNTIF('BANG CAN'!$F$8:$F$1007,B102))</f>
        <v/>
      </c>
      <c r="H102" s="4"/>
    </row>
    <row r="103" customFormat="false" ht="15" hidden="false" customHeight="false" outlineLevel="0" collapsed="false">
      <c r="A103" s="12" t="str">
        <f aca="false">IF(B103="","",COUNTA($B$6:B103))</f>
        <v/>
      </c>
      <c r="B103" s="15"/>
      <c r="C103" s="4"/>
      <c r="D103" s="23"/>
      <c r="E103" s="15"/>
      <c r="F103" s="24" t="str">
        <f aca="false">IF(E103="","",IFERROR(INDEX('MA DVVC'!$B$4:$B$53,MATCH(E103,'MA DVVC'!$A$4:$A$53,0)),"Mã chưa có trong MA DVVC"))</f>
        <v/>
      </c>
      <c r="G103" s="12" t="str">
        <f aca="false">IF(B103="","",COUNTIF('BANG CAN'!$F$8:$F$1007,B103))</f>
        <v/>
      </c>
      <c r="H103" s="4"/>
    </row>
    <row r="104" customFormat="false" ht="15" hidden="false" customHeight="false" outlineLevel="0" collapsed="false">
      <c r="A104" s="12" t="str">
        <f aca="false">IF(B104="","",COUNTA($B$6:B104))</f>
        <v/>
      </c>
      <c r="B104" s="15"/>
      <c r="C104" s="4"/>
      <c r="D104" s="23"/>
      <c r="E104" s="15"/>
      <c r="F104" s="24" t="str">
        <f aca="false">IF(E104="","",IFERROR(INDEX('MA DVVC'!$B$4:$B$53,MATCH(E104,'MA DVVC'!$A$4:$A$53,0)),"Mã chưa có trong MA DVVC"))</f>
        <v/>
      </c>
      <c r="G104" s="12" t="str">
        <f aca="false">IF(B104="","",COUNTIF('BANG CAN'!$F$8:$F$1007,B104))</f>
        <v/>
      </c>
      <c r="H104" s="4"/>
    </row>
    <row r="105" customFormat="false" ht="15" hidden="false" customHeight="false" outlineLevel="0" collapsed="false">
      <c r="A105" s="12" t="str">
        <f aca="false">IF(B105="","",COUNTA($B$6:B105))</f>
        <v/>
      </c>
      <c r="B105" s="15"/>
      <c r="C105" s="4"/>
      <c r="D105" s="23"/>
      <c r="E105" s="15"/>
      <c r="F105" s="24" t="str">
        <f aca="false">IF(E105="","",IFERROR(INDEX('MA DVVC'!$B$4:$B$53,MATCH(E105,'MA DVVC'!$A$4:$A$53,0)),"Mã chưa có trong MA DVVC"))</f>
        <v/>
      </c>
      <c r="G105" s="12" t="str">
        <f aca="false">IF(B105="","",COUNTIF('BANG CAN'!$F$8:$F$1007,B105))</f>
        <v/>
      </c>
      <c r="H105" s="4"/>
    </row>
    <row r="106" customFormat="false" ht="15" hidden="false" customHeight="false" outlineLevel="0" collapsed="false">
      <c r="A106" s="12" t="str">
        <f aca="false">IF(B106="","",COUNTA($B$6:B106))</f>
        <v/>
      </c>
      <c r="B106" s="15"/>
      <c r="C106" s="4"/>
      <c r="D106" s="23"/>
      <c r="E106" s="15"/>
      <c r="F106" s="24" t="str">
        <f aca="false">IF(E106="","",IFERROR(INDEX('MA DVVC'!$B$4:$B$53,MATCH(E106,'MA DVVC'!$A$4:$A$53,0)),"Mã chưa có trong MA DVVC"))</f>
        <v/>
      </c>
      <c r="G106" s="12" t="str">
        <f aca="false">IF(B106="","",COUNTIF('BANG CAN'!$F$8:$F$1007,B106))</f>
        <v/>
      </c>
      <c r="H106" s="4"/>
    </row>
    <row r="107" customFormat="false" ht="15" hidden="false" customHeight="false" outlineLevel="0" collapsed="false">
      <c r="A107" s="12" t="str">
        <f aca="false">IF(B107="","",COUNTA($B$6:B107))</f>
        <v/>
      </c>
      <c r="B107" s="15"/>
      <c r="C107" s="4"/>
      <c r="D107" s="23"/>
      <c r="E107" s="15"/>
      <c r="F107" s="24" t="str">
        <f aca="false">IF(E107="","",IFERROR(INDEX('MA DVVC'!$B$4:$B$53,MATCH(E107,'MA DVVC'!$A$4:$A$53,0)),"Mã chưa có trong MA DVVC"))</f>
        <v/>
      </c>
      <c r="G107" s="12" t="str">
        <f aca="false">IF(B107="","",COUNTIF('BANG CAN'!$F$8:$F$1007,B107))</f>
        <v/>
      </c>
      <c r="H107" s="4"/>
    </row>
    <row r="108" customFormat="false" ht="15" hidden="false" customHeight="false" outlineLevel="0" collapsed="false">
      <c r="A108" s="12" t="str">
        <f aca="false">IF(B108="","",COUNTA($B$6:B108))</f>
        <v/>
      </c>
      <c r="B108" s="15"/>
      <c r="C108" s="4"/>
      <c r="D108" s="23"/>
      <c r="E108" s="15"/>
      <c r="F108" s="24" t="str">
        <f aca="false">IF(E108="","",IFERROR(INDEX('MA DVVC'!$B$4:$B$53,MATCH(E108,'MA DVVC'!$A$4:$A$53,0)),"Mã chưa có trong MA DVVC"))</f>
        <v/>
      </c>
      <c r="G108" s="12" t="str">
        <f aca="false">IF(B108="","",COUNTIF('BANG CAN'!$F$8:$F$1007,B108))</f>
        <v/>
      </c>
      <c r="H108" s="4"/>
    </row>
    <row r="109" customFormat="false" ht="15" hidden="false" customHeight="false" outlineLevel="0" collapsed="false">
      <c r="A109" s="12" t="str">
        <f aca="false">IF(B109="","",COUNTA($B$6:B109))</f>
        <v/>
      </c>
      <c r="B109" s="15"/>
      <c r="C109" s="4"/>
      <c r="D109" s="23"/>
      <c r="E109" s="15"/>
      <c r="F109" s="24" t="str">
        <f aca="false">IF(E109="","",IFERROR(INDEX('MA DVVC'!$B$4:$B$53,MATCH(E109,'MA DVVC'!$A$4:$A$53,0)),"Mã chưa có trong MA DVVC"))</f>
        <v/>
      </c>
      <c r="G109" s="12" t="str">
        <f aca="false">IF(B109="","",COUNTIF('BANG CAN'!$F$8:$F$1007,B109))</f>
        <v/>
      </c>
      <c r="H109" s="4"/>
    </row>
    <row r="110" customFormat="false" ht="15" hidden="false" customHeight="false" outlineLevel="0" collapsed="false">
      <c r="A110" s="12" t="str">
        <f aca="false">IF(B110="","",COUNTA($B$6:B110))</f>
        <v/>
      </c>
      <c r="B110" s="15"/>
      <c r="C110" s="4"/>
      <c r="D110" s="23"/>
      <c r="E110" s="15"/>
      <c r="F110" s="24" t="str">
        <f aca="false">IF(E110="","",IFERROR(INDEX('MA DVVC'!$B$4:$B$53,MATCH(E110,'MA DVVC'!$A$4:$A$53,0)),"Mã chưa có trong MA DVVC"))</f>
        <v/>
      </c>
      <c r="G110" s="12" t="str">
        <f aca="false">IF(B110="","",COUNTIF('BANG CAN'!$F$8:$F$1007,B110))</f>
        <v/>
      </c>
      <c r="H110" s="4"/>
    </row>
    <row r="111" customFormat="false" ht="15" hidden="false" customHeight="false" outlineLevel="0" collapsed="false">
      <c r="A111" s="12" t="str">
        <f aca="false">IF(B111="","",COUNTA($B$6:B111))</f>
        <v/>
      </c>
      <c r="B111" s="15"/>
      <c r="C111" s="4"/>
      <c r="D111" s="23"/>
      <c r="E111" s="15"/>
      <c r="F111" s="24" t="str">
        <f aca="false">IF(E111="","",IFERROR(INDEX('MA DVVC'!$B$4:$B$53,MATCH(E111,'MA DVVC'!$A$4:$A$53,0)),"Mã chưa có trong MA DVVC"))</f>
        <v/>
      </c>
      <c r="G111" s="12" t="str">
        <f aca="false">IF(B111="","",COUNTIF('BANG CAN'!$F$8:$F$1007,B111))</f>
        <v/>
      </c>
      <c r="H111" s="4"/>
    </row>
    <row r="112" customFormat="false" ht="15" hidden="false" customHeight="false" outlineLevel="0" collapsed="false">
      <c r="A112" s="12" t="str">
        <f aca="false">IF(B112="","",COUNTA($B$6:B112))</f>
        <v/>
      </c>
      <c r="B112" s="15"/>
      <c r="C112" s="4"/>
      <c r="D112" s="23"/>
      <c r="E112" s="15"/>
      <c r="F112" s="24" t="str">
        <f aca="false">IF(E112="","",IFERROR(INDEX('MA DVVC'!$B$4:$B$53,MATCH(E112,'MA DVVC'!$A$4:$A$53,0)),"Mã chưa có trong MA DVVC"))</f>
        <v/>
      </c>
      <c r="G112" s="12" t="str">
        <f aca="false">IF(B112="","",COUNTIF('BANG CAN'!$F$8:$F$1007,B112))</f>
        <v/>
      </c>
      <c r="H112" s="4"/>
    </row>
    <row r="113" customFormat="false" ht="15" hidden="false" customHeight="false" outlineLevel="0" collapsed="false">
      <c r="A113" s="12" t="str">
        <f aca="false">IF(B113="","",COUNTA($B$6:B113))</f>
        <v/>
      </c>
      <c r="B113" s="15"/>
      <c r="C113" s="4"/>
      <c r="D113" s="23"/>
      <c r="E113" s="15"/>
      <c r="F113" s="24" t="str">
        <f aca="false">IF(E113="","",IFERROR(INDEX('MA DVVC'!$B$4:$B$53,MATCH(E113,'MA DVVC'!$A$4:$A$53,0)),"Mã chưa có trong MA DVVC"))</f>
        <v/>
      </c>
      <c r="G113" s="12" t="str">
        <f aca="false">IF(B113="","",COUNTIF('BANG CAN'!$F$8:$F$1007,B113))</f>
        <v/>
      </c>
      <c r="H113" s="4"/>
    </row>
    <row r="114" customFormat="false" ht="15" hidden="false" customHeight="false" outlineLevel="0" collapsed="false">
      <c r="A114" s="12" t="str">
        <f aca="false">IF(B114="","",COUNTA($B$6:B114))</f>
        <v/>
      </c>
      <c r="B114" s="15"/>
      <c r="C114" s="4"/>
      <c r="D114" s="23"/>
      <c r="E114" s="15"/>
      <c r="F114" s="24" t="str">
        <f aca="false">IF(E114="","",IFERROR(INDEX('MA DVVC'!$B$4:$B$53,MATCH(E114,'MA DVVC'!$A$4:$A$53,0)),"Mã chưa có trong MA DVVC"))</f>
        <v/>
      </c>
      <c r="G114" s="12" t="str">
        <f aca="false">IF(B114="","",COUNTIF('BANG CAN'!$F$8:$F$1007,B114))</f>
        <v/>
      </c>
      <c r="H114" s="4"/>
    </row>
    <row r="115" customFormat="false" ht="15" hidden="false" customHeight="false" outlineLevel="0" collapsed="false">
      <c r="A115" s="12" t="str">
        <f aca="false">IF(B115="","",COUNTA($B$6:B115))</f>
        <v/>
      </c>
      <c r="B115" s="15"/>
      <c r="C115" s="4"/>
      <c r="D115" s="23"/>
      <c r="E115" s="15"/>
      <c r="F115" s="24" t="str">
        <f aca="false">IF(E115="","",IFERROR(INDEX('MA DVVC'!$B$4:$B$53,MATCH(E115,'MA DVVC'!$A$4:$A$53,0)),"Mã chưa có trong MA DVVC"))</f>
        <v/>
      </c>
      <c r="G115" s="12" t="str">
        <f aca="false">IF(B115="","",COUNTIF('BANG CAN'!$F$8:$F$1007,B115))</f>
        <v/>
      </c>
      <c r="H115" s="4"/>
    </row>
    <row r="116" customFormat="false" ht="15" hidden="false" customHeight="false" outlineLevel="0" collapsed="false">
      <c r="A116" s="12" t="str">
        <f aca="false">IF(B116="","",COUNTA($B$6:B116))</f>
        <v/>
      </c>
      <c r="B116" s="15"/>
      <c r="C116" s="4"/>
      <c r="D116" s="23"/>
      <c r="E116" s="15"/>
      <c r="F116" s="24" t="str">
        <f aca="false">IF(E116="","",IFERROR(INDEX('MA DVVC'!$B$4:$B$53,MATCH(E116,'MA DVVC'!$A$4:$A$53,0)),"Mã chưa có trong MA DVVC"))</f>
        <v/>
      </c>
      <c r="G116" s="12" t="str">
        <f aca="false">IF(B116="","",COUNTIF('BANG CAN'!$F$8:$F$1007,B116))</f>
        <v/>
      </c>
      <c r="H116" s="4"/>
    </row>
    <row r="117" customFormat="false" ht="15" hidden="false" customHeight="false" outlineLevel="0" collapsed="false">
      <c r="A117" s="12" t="str">
        <f aca="false">IF(B117="","",COUNTA($B$6:B117))</f>
        <v/>
      </c>
      <c r="B117" s="15"/>
      <c r="C117" s="4"/>
      <c r="D117" s="23"/>
      <c r="E117" s="15"/>
      <c r="F117" s="24" t="str">
        <f aca="false">IF(E117="","",IFERROR(INDEX('MA DVVC'!$B$4:$B$53,MATCH(E117,'MA DVVC'!$A$4:$A$53,0)),"Mã chưa có trong MA DVVC"))</f>
        <v/>
      </c>
      <c r="G117" s="12" t="str">
        <f aca="false">IF(B117="","",COUNTIF('BANG CAN'!$F$8:$F$1007,B117))</f>
        <v/>
      </c>
      <c r="H117" s="4"/>
    </row>
    <row r="118" customFormat="false" ht="15" hidden="false" customHeight="false" outlineLevel="0" collapsed="false">
      <c r="A118" s="12" t="str">
        <f aca="false">IF(B118="","",COUNTA($B$6:B118))</f>
        <v/>
      </c>
      <c r="B118" s="15"/>
      <c r="C118" s="4"/>
      <c r="D118" s="23"/>
      <c r="E118" s="15"/>
      <c r="F118" s="24" t="str">
        <f aca="false">IF(E118="","",IFERROR(INDEX('MA DVVC'!$B$4:$B$53,MATCH(E118,'MA DVVC'!$A$4:$A$53,0)),"Mã chưa có trong MA DVVC"))</f>
        <v/>
      </c>
      <c r="G118" s="12" t="str">
        <f aca="false">IF(B118="","",COUNTIF('BANG CAN'!$F$8:$F$1007,B118))</f>
        <v/>
      </c>
      <c r="H118" s="4"/>
    </row>
    <row r="119" customFormat="false" ht="15" hidden="false" customHeight="false" outlineLevel="0" collapsed="false">
      <c r="A119" s="12" t="str">
        <f aca="false">IF(B119="","",COUNTA($B$6:B119))</f>
        <v/>
      </c>
      <c r="B119" s="15"/>
      <c r="C119" s="4"/>
      <c r="D119" s="23"/>
      <c r="E119" s="15"/>
      <c r="F119" s="24" t="str">
        <f aca="false">IF(E119="","",IFERROR(INDEX('MA DVVC'!$B$4:$B$53,MATCH(E119,'MA DVVC'!$A$4:$A$53,0)),"Mã chưa có trong MA DVVC"))</f>
        <v/>
      </c>
      <c r="G119" s="12" t="str">
        <f aca="false">IF(B119="","",COUNTIF('BANG CAN'!$F$8:$F$1007,B119))</f>
        <v/>
      </c>
      <c r="H119" s="4"/>
    </row>
    <row r="120" customFormat="false" ht="15" hidden="false" customHeight="false" outlineLevel="0" collapsed="false">
      <c r="A120" s="12" t="str">
        <f aca="false">IF(B120="","",COUNTA($B$6:B120))</f>
        <v/>
      </c>
      <c r="B120" s="15"/>
      <c r="C120" s="4"/>
      <c r="D120" s="23"/>
      <c r="E120" s="15"/>
      <c r="F120" s="24" t="str">
        <f aca="false">IF(E120="","",IFERROR(INDEX('MA DVVC'!$B$4:$B$53,MATCH(E120,'MA DVVC'!$A$4:$A$53,0)),"Mã chưa có trong MA DVVC"))</f>
        <v/>
      </c>
      <c r="G120" s="12" t="str">
        <f aca="false">IF(B120="","",COUNTIF('BANG CAN'!$F$8:$F$1007,B120))</f>
        <v/>
      </c>
      <c r="H120" s="4"/>
    </row>
    <row r="121" customFormat="false" ht="15" hidden="false" customHeight="false" outlineLevel="0" collapsed="false">
      <c r="A121" s="12" t="str">
        <f aca="false">IF(B121="","",COUNTA($B$6:B121))</f>
        <v/>
      </c>
      <c r="B121" s="15"/>
      <c r="C121" s="4"/>
      <c r="D121" s="23"/>
      <c r="E121" s="15"/>
      <c r="F121" s="24" t="str">
        <f aca="false">IF(E121="","",IFERROR(INDEX('MA DVVC'!$B$4:$B$53,MATCH(E121,'MA DVVC'!$A$4:$A$53,0)),"Mã chưa có trong MA DVVC"))</f>
        <v/>
      </c>
      <c r="G121" s="12" t="str">
        <f aca="false">IF(B121="","",COUNTIF('BANG CAN'!$F$8:$F$1007,B121))</f>
        <v/>
      </c>
      <c r="H121" s="4"/>
    </row>
    <row r="122" customFormat="false" ht="15" hidden="false" customHeight="false" outlineLevel="0" collapsed="false">
      <c r="A122" s="12" t="str">
        <f aca="false">IF(B122="","",COUNTA($B$6:B122))</f>
        <v/>
      </c>
      <c r="B122" s="15"/>
      <c r="C122" s="4"/>
      <c r="D122" s="23"/>
      <c r="E122" s="15"/>
      <c r="F122" s="24" t="str">
        <f aca="false">IF(E122="","",IFERROR(INDEX('MA DVVC'!$B$4:$B$53,MATCH(E122,'MA DVVC'!$A$4:$A$53,0)),"Mã chưa có trong MA DVVC"))</f>
        <v/>
      </c>
      <c r="G122" s="12" t="str">
        <f aca="false">IF(B122="","",COUNTIF('BANG CAN'!$F$8:$F$1007,B122))</f>
        <v/>
      </c>
      <c r="H122" s="4"/>
    </row>
    <row r="123" customFormat="false" ht="15" hidden="false" customHeight="false" outlineLevel="0" collapsed="false">
      <c r="A123" s="12" t="str">
        <f aca="false">IF(B123="","",COUNTA($B$6:B123))</f>
        <v/>
      </c>
      <c r="B123" s="15"/>
      <c r="C123" s="4"/>
      <c r="D123" s="23"/>
      <c r="E123" s="15"/>
      <c r="F123" s="24" t="str">
        <f aca="false">IF(E123="","",IFERROR(INDEX('MA DVVC'!$B$4:$B$53,MATCH(E123,'MA DVVC'!$A$4:$A$53,0)),"Mã chưa có trong MA DVVC"))</f>
        <v/>
      </c>
      <c r="G123" s="12" t="str">
        <f aca="false">IF(B123="","",COUNTIF('BANG CAN'!$F$8:$F$1007,B123))</f>
        <v/>
      </c>
      <c r="H123" s="4"/>
    </row>
    <row r="124" customFormat="false" ht="15" hidden="false" customHeight="false" outlineLevel="0" collapsed="false">
      <c r="A124" s="12" t="str">
        <f aca="false">IF(B124="","",COUNTA($B$6:B124))</f>
        <v/>
      </c>
      <c r="B124" s="15"/>
      <c r="C124" s="4"/>
      <c r="D124" s="23"/>
      <c r="E124" s="15"/>
      <c r="F124" s="24" t="str">
        <f aca="false">IF(E124="","",IFERROR(INDEX('MA DVVC'!$B$4:$B$53,MATCH(E124,'MA DVVC'!$A$4:$A$53,0)),"Mã chưa có trong MA DVVC"))</f>
        <v/>
      </c>
      <c r="G124" s="12" t="str">
        <f aca="false">IF(B124="","",COUNTIF('BANG CAN'!$F$8:$F$1007,B124))</f>
        <v/>
      </c>
      <c r="H124" s="4"/>
    </row>
    <row r="125" customFormat="false" ht="15" hidden="false" customHeight="false" outlineLevel="0" collapsed="false">
      <c r="A125" s="12" t="str">
        <f aca="false">IF(B125="","",COUNTA($B$6:B125))</f>
        <v/>
      </c>
      <c r="B125" s="15"/>
      <c r="C125" s="4"/>
      <c r="D125" s="23"/>
      <c r="E125" s="15"/>
      <c r="F125" s="24" t="str">
        <f aca="false">IF(E125="","",IFERROR(INDEX('MA DVVC'!$B$4:$B$53,MATCH(E125,'MA DVVC'!$A$4:$A$53,0)),"Mã chưa có trong MA DVVC"))</f>
        <v/>
      </c>
      <c r="G125" s="12" t="str">
        <f aca="false">IF(B125="","",COUNTIF('BANG CAN'!$F$8:$F$1007,B125))</f>
        <v/>
      </c>
      <c r="H125" s="4"/>
    </row>
    <row r="126" customFormat="false" ht="15" hidden="false" customHeight="false" outlineLevel="0" collapsed="false">
      <c r="A126" s="12" t="str">
        <f aca="false">IF(B126="","",COUNTA($B$6:B126))</f>
        <v/>
      </c>
      <c r="B126" s="15"/>
      <c r="C126" s="4"/>
      <c r="D126" s="23"/>
      <c r="E126" s="15"/>
      <c r="F126" s="24" t="str">
        <f aca="false">IF(E126="","",IFERROR(INDEX('MA DVVC'!$B$4:$B$53,MATCH(E126,'MA DVVC'!$A$4:$A$53,0)),"Mã chưa có trong MA DVVC"))</f>
        <v/>
      </c>
      <c r="G126" s="12" t="str">
        <f aca="false">IF(B126="","",COUNTIF('BANG CAN'!$F$8:$F$1007,B126))</f>
        <v/>
      </c>
      <c r="H126" s="4"/>
    </row>
    <row r="127" customFormat="false" ht="15" hidden="false" customHeight="false" outlineLevel="0" collapsed="false">
      <c r="A127" s="12" t="str">
        <f aca="false">IF(B127="","",COUNTA($B$6:B127))</f>
        <v/>
      </c>
      <c r="B127" s="15"/>
      <c r="C127" s="4"/>
      <c r="D127" s="23"/>
      <c r="E127" s="15"/>
      <c r="F127" s="24" t="str">
        <f aca="false">IF(E127="","",IFERROR(INDEX('MA DVVC'!$B$4:$B$53,MATCH(E127,'MA DVVC'!$A$4:$A$53,0)),"Mã chưa có trong MA DVVC"))</f>
        <v/>
      </c>
      <c r="G127" s="12" t="str">
        <f aca="false">IF(B127="","",COUNTIF('BANG CAN'!$F$8:$F$1007,B127))</f>
        <v/>
      </c>
      <c r="H127" s="4"/>
    </row>
    <row r="128" customFormat="false" ht="15" hidden="false" customHeight="false" outlineLevel="0" collapsed="false">
      <c r="A128" s="12" t="str">
        <f aca="false">IF(B128="","",COUNTA($B$6:B128))</f>
        <v/>
      </c>
      <c r="B128" s="15"/>
      <c r="C128" s="4"/>
      <c r="D128" s="23"/>
      <c r="E128" s="15"/>
      <c r="F128" s="24" t="str">
        <f aca="false">IF(E128="","",IFERROR(INDEX('MA DVVC'!$B$4:$B$53,MATCH(E128,'MA DVVC'!$A$4:$A$53,0)),"Mã chưa có trong MA DVVC"))</f>
        <v/>
      </c>
      <c r="G128" s="12" t="str">
        <f aca="false">IF(B128="","",COUNTIF('BANG CAN'!$F$8:$F$1007,B128))</f>
        <v/>
      </c>
      <c r="H128" s="4"/>
    </row>
    <row r="129" customFormat="false" ht="15" hidden="false" customHeight="false" outlineLevel="0" collapsed="false">
      <c r="A129" s="12" t="str">
        <f aca="false">IF(B129="","",COUNTA($B$6:B129))</f>
        <v/>
      </c>
      <c r="B129" s="15"/>
      <c r="C129" s="4"/>
      <c r="D129" s="23"/>
      <c r="E129" s="15"/>
      <c r="F129" s="24" t="str">
        <f aca="false">IF(E129="","",IFERROR(INDEX('MA DVVC'!$B$4:$B$53,MATCH(E129,'MA DVVC'!$A$4:$A$53,0)),"Mã chưa có trong MA DVVC"))</f>
        <v/>
      </c>
      <c r="G129" s="12" t="str">
        <f aca="false">IF(B129="","",COUNTIF('BANG CAN'!$F$8:$F$1007,B129))</f>
        <v/>
      </c>
      <c r="H129" s="4"/>
    </row>
    <row r="130" customFormat="false" ht="15" hidden="false" customHeight="false" outlineLevel="0" collapsed="false">
      <c r="A130" s="12" t="str">
        <f aca="false">IF(B130="","",COUNTA($B$6:B130))</f>
        <v/>
      </c>
      <c r="B130" s="15"/>
      <c r="C130" s="4"/>
      <c r="D130" s="23"/>
      <c r="E130" s="15"/>
      <c r="F130" s="24" t="str">
        <f aca="false">IF(E130="","",IFERROR(INDEX('MA DVVC'!$B$4:$B$53,MATCH(E130,'MA DVVC'!$A$4:$A$53,0)),"Mã chưa có trong MA DVVC"))</f>
        <v/>
      </c>
      <c r="G130" s="12" t="str">
        <f aca="false">IF(B130="","",COUNTIF('BANG CAN'!$F$8:$F$1007,B130))</f>
        <v/>
      </c>
      <c r="H130" s="4"/>
    </row>
    <row r="131" customFormat="false" ht="15" hidden="false" customHeight="false" outlineLevel="0" collapsed="false">
      <c r="A131" s="12" t="str">
        <f aca="false">IF(B131="","",COUNTA($B$6:B131))</f>
        <v/>
      </c>
      <c r="B131" s="15"/>
      <c r="C131" s="4"/>
      <c r="D131" s="23"/>
      <c r="E131" s="15"/>
      <c r="F131" s="24" t="str">
        <f aca="false">IF(E131="","",IFERROR(INDEX('MA DVVC'!$B$4:$B$53,MATCH(E131,'MA DVVC'!$A$4:$A$53,0)),"Mã chưa có trong MA DVVC"))</f>
        <v/>
      </c>
      <c r="G131" s="12" t="str">
        <f aca="false">IF(B131="","",COUNTIF('BANG CAN'!$F$8:$F$1007,B131))</f>
        <v/>
      </c>
      <c r="H131" s="4"/>
    </row>
    <row r="132" customFormat="false" ht="15" hidden="false" customHeight="false" outlineLevel="0" collapsed="false">
      <c r="A132" s="12" t="str">
        <f aca="false">IF(B132="","",COUNTA($B$6:B132))</f>
        <v/>
      </c>
      <c r="B132" s="15"/>
      <c r="C132" s="4"/>
      <c r="D132" s="23"/>
      <c r="E132" s="15"/>
      <c r="F132" s="24" t="str">
        <f aca="false">IF(E132="","",IFERROR(INDEX('MA DVVC'!$B$4:$B$53,MATCH(E132,'MA DVVC'!$A$4:$A$53,0)),"Mã chưa có trong MA DVVC"))</f>
        <v/>
      </c>
      <c r="G132" s="12" t="str">
        <f aca="false">IF(B132="","",COUNTIF('BANG CAN'!$F$8:$F$1007,B132))</f>
        <v/>
      </c>
      <c r="H132" s="4"/>
    </row>
    <row r="133" customFormat="false" ht="15" hidden="false" customHeight="false" outlineLevel="0" collapsed="false">
      <c r="A133" s="12" t="str">
        <f aca="false">IF(B133="","",COUNTA($B$6:B133))</f>
        <v/>
      </c>
      <c r="B133" s="15"/>
      <c r="C133" s="4"/>
      <c r="D133" s="23"/>
      <c r="E133" s="15"/>
      <c r="F133" s="24" t="str">
        <f aca="false">IF(E133="","",IFERROR(INDEX('MA DVVC'!$B$4:$B$53,MATCH(E133,'MA DVVC'!$A$4:$A$53,0)),"Mã chưa có trong MA DVVC"))</f>
        <v/>
      </c>
      <c r="G133" s="12" t="str">
        <f aca="false">IF(B133="","",COUNTIF('BANG CAN'!$F$8:$F$1007,B133))</f>
        <v/>
      </c>
      <c r="H133" s="4"/>
    </row>
    <row r="134" customFormat="false" ht="15" hidden="false" customHeight="false" outlineLevel="0" collapsed="false">
      <c r="A134" s="12" t="str">
        <f aca="false">IF(B134="","",COUNTA($B$6:B134))</f>
        <v/>
      </c>
      <c r="B134" s="15"/>
      <c r="C134" s="4"/>
      <c r="D134" s="23"/>
      <c r="E134" s="15"/>
      <c r="F134" s="24" t="str">
        <f aca="false">IF(E134="","",IFERROR(INDEX('MA DVVC'!$B$4:$B$53,MATCH(E134,'MA DVVC'!$A$4:$A$53,0)),"Mã chưa có trong MA DVVC"))</f>
        <v/>
      </c>
      <c r="G134" s="12" t="str">
        <f aca="false">IF(B134="","",COUNTIF('BANG CAN'!$F$8:$F$1007,B134))</f>
        <v/>
      </c>
      <c r="H134" s="4"/>
    </row>
    <row r="135" customFormat="false" ht="15" hidden="false" customHeight="false" outlineLevel="0" collapsed="false">
      <c r="A135" s="12" t="str">
        <f aca="false">IF(B135="","",COUNTA($B$6:B135))</f>
        <v/>
      </c>
      <c r="B135" s="15"/>
      <c r="C135" s="4"/>
      <c r="D135" s="23"/>
      <c r="E135" s="15"/>
      <c r="F135" s="24" t="str">
        <f aca="false">IF(E135="","",IFERROR(INDEX('MA DVVC'!$B$4:$B$53,MATCH(E135,'MA DVVC'!$A$4:$A$53,0)),"Mã chưa có trong MA DVVC"))</f>
        <v/>
      </c>
      <c r="G135" s="12" t="str">
        <f aca="false">IF(B135="","",COUNTIF('BANG CAN'!$F$8:$F$1007,B135))</f>
        <v/>
      </c>
      <c r="H135" s="4"/>
    </row>
    <row r="136" customFormat="false" ht="15" hidden="false" customHeight="false" outlineLevel="0" collapsed="false">
      <c r="A136" s="12" t="str">
        <f aca="false">IF(B136="","",COUNTA($B$6:B136))</f>
        <v/>
      </c>
      <c r="B136" s="15"/>
      <c r="C136" s="4"/>
      <c r="D136" s="23"/>
      <c r="E136" s="15"/>
      <c r="F136" s="24" t="str">
        <f aca="false">IF(E136="","",IFERROR(INDEX('MA DVVC'!$B$4:$B$53,MATCH(E136,'MA DVVC'!$A$4:$A$53,0)),"Mã chưa có trong MA DVVC"))</f>
        <v/>
      </c>
      <c r="G136" s="12" t="str">
        <f aca="false">IF(B136="","",COUNTIF('BANG CAN'!$F$8:$F$1007,B136))</f>
        <v/>
      </c>
      <c r="H136" s="4"/>
    </row>
    <row r="137" customFormat="false" ht="15" hidden="false" customHeight="false" outlineLevel="0" collapsed="false">
      <c r="A137" s="12" t="str">
        <f aca="false">IF(B137="","",COUNTA($B$6:B137))</f>
        <v/>
      </c>
      <c r="B137" s="15"/>
      <c r="C137" s="4"/>
      <c r="D137" s="23"/>
      <c r="E137" s="15"/>
      <c r="F137" s="24" t="str">
        <f aca="false">IF(E137="","",IFERROR(INDEX('MA DVVC'!$B$4:$B$53,MATCH(E137,'MA DVVC'!$A$4:$A$53,0)),"Mã chưa có trong MA DVVC"))</f>
        <v/>
      </c>
      <c r="G137" s="12" t="str">
        <f aca="false">IF(B137="","",COUNTIF('BANG CAN'!$F$8:$F$1007,B137))</f>
        <v/>
      </c>
      <c r="H137" s="4"/>
    </row>
    <row r="138" customFormat="false" ht="15" hidden="false" customHeight="false" outlineLevel="0" collapsed="false">
      <c r="A138" s="12" t="str">
        <f aca="false">IF(B138="","",COUNTA($B$6:B138))</f>
        <v/>
      </c>
      <c r="B138" s="15"/>
      <c r="C138" s="4"/>
      <c r="D138" s="23"/>
      <c r="E138" s="15"/>
      <c r="F138" s="24" t="str">
        <f aca="false">IF(E138="","",IFERROR(INDEX('MA DVVC'!$B$4:$B$53,MATCH(E138,'MA DVVC'!$A$4:$A$53,0)),"Mã chưa có trong MA DVVC"))</f>
        <v/>
      </c>
      <c r="G138" s="12" t="str">
        <f aca="false">IF(B138="","",COUNTIF('BANG CAN'!$F$8:$F$1007,B138))</f>
        <v/>
      </c>
      <c r="H138" s="4"/>
    </row>
    <row r="139" customFormat="false" ht="15" hidden="false" customHeight="false" outlineLevel="0" collapsed="false">
      <c r="A139" s="12" t="str">
        <f aca="false">IF(B139="","",COUNTA($B$6:B139))</f>
        <v/>
      </c>
      <c r="B139" s="15"/>
      <c r="C139" s="4"/>
      <c r="D139" s="23"/>
      <c r="E139" s="15"/>
      <c r="F139" s="24" t="str">
        <f aca="false">IF(E139="","",IFERROR(INDEX('MA DVVC'!$B$4:$B$53,MATCH(E139,'MA DVVC'!$A$4:$A$53,0)),"Mã chưa có trong MA DVVC"))</f>
        <v/>
      </c>
      <c r="G139" s="12" t="str">
        <f aca="false">IF(B139="","",COUNTIF('BANG CAN'!$F$8:$F$1007,B139))</f>
        <v/>
      </c>
      <c r="H139" s="4"/>
    </row>
    <row r="140" customFormat="false" ht="15" hidden="false" customHeight="false" outlineLevel="0" collapsed="false">
      <c r="A140" s="12" t="str">
        <f aca="false">IF(B140="","",COUNTA($B$6:B140))</f>
        <v/>
      </c>
      <c r="B140" s="15"/>
      <c r="C140" s="4"/>
      <c r="D140" s="23"/>
      <c r="E140" s="15"/>
      <c r="F140" s="24" t="str">
        <f aca="false">IF(E140="","",IFERROR(INDEX('MA DVVC'!$B$4:$B$53,MATCH(E140,'MA DVVC'!$A$4:$A$53,0)),"Mã chưa có trong MA DVVC"))</f>
        <v/>
      </c>
      <c r="G140" s="12" t="str">
        <f aca="false">IF(B140="","",COUNTIF('BANG CAN'!$F$8:$F$1007,B140))</f>
        <v/>
      </c>
      <c r="H140" s="4"/>
    </row>
    <row r="141" customFormat="false" ht="15" hidden="false" customHeight="false" outlineLevel="0" collapsed="false">
      <c r="A141" s="12" t="str">
        <f aca="false">IF(B141="","",COUNTA($B$6:B141))</f>
        <v/>
      </c>
      <c r="B141" s="15"/>
      <c r="C141" s="4"/>
      <c r="D141" s="23"/>
      <c r="E141" s="15"/>
      <c r="F141" s="24" t="str">
        <f aca="false">IF(E141="","",IFERROR(INDEX('MA DVVC'!$B$4:$B$53,MATCH(E141,'MA DVVC'!$A$4:$A$53,0)),"Mã chưa có trong MA DVVC"))</f>
        <v/>
      </c>
      <c r="G141" s="12" t="str">
        <f aca="false">IF(B141="","",COUNTIF('BANG CAN'!$F$8:$F$1007,B141))</f>
        <v/>
      </c>
      <c r="H141" s="4"/>
    </row>
    <row r="142" customFormat="false" ht="15" hidden="false" customHeight="false" outlineLevel="0" collapsed="false">
      <c r="A142" s="12" t="str">
        <f aca="false">IF(B142="","",COUNTA($B$6:B142))</f>
        <v/>
      </c>
      <c r="B142" s="15"/>
      <c r="C142" s="4"/>
      <c r="D142" s="23"/>
      <c r="E142" s="15"/>
      <c r="F142" s="24" t="str">
        <f aca="false">IF(E142="","",IFERROR(INDEX('MA DVVC'!$B$4:$B$53,MATCH(E142,'MA DVVC'!$A$4:$A$53,0)),"Mã chưa có trong MA DVVC"))</f>
        <v/>
      </c>
      <c r="G142" s="12" t="str">
        <f aca="false">IF(B142="","",COUNTIF('BANG CAN'!$F$8:$F$1007,B142))</f>
        <v/>
      </c>
      <c r="H142" s="4"/>
    </row>
    <row r="143" customFormat="false" ht="15" hidden="false" customHeight="false" outlineLevel="0" collapsed="false">
      <c r="A143" s="12" t="str">
        <f aca="false">IF(B143="","",COUNTA($B$6:B143))</f>
        <v/>
      </c>
      <c r="B143" s="15"/>
      <c r="C143" s="4"/>
      <c r="D143" s="23"/>
      <c r="E143" s="15"/>
      <c r="F143" s="24" t="str">
        <f aca="false">IF(E143="","",IFERROR(INDEX('MA DVVC'!$B$4:$B$53,MATCH(E143,'MA DVVC'!$A$4:$A$53,0)),"Mã chưa có trong MA DVVC"))</f>
        <v/>
      </c>
      <c r="G143" s="12" t="str">
        <f aca="false">IF(B143="","",COUNTIF('BANG CAN'!$F$8:$F$1007,B143))</f>
        <v/>
      </c>
      <c r="H143" s="4"/>
    </row>
    <row r="144" customFormat="false" ht="15" hidden="false" customHeight="false" outlineLevel="0" collapsed="false">
      <c r="A144" s="12" t="str">
        <f aca="false">IF(B144="","",COUNTA($B$6:B144))</f>
        <v/>
      </c>
      <c r="B144" s="15"/>
      <c r="C144" s="4"/>
      <c r="D144" s="23"/>
      <c r="E144" s="15"/>
      <c r="F144" s="24" t="str">
        <f aca="false">IF(E144="","",IFERROR(INDEX('MA DVVC'!$B$4:$B$53,MATCH(E144,'MA DVVC'!$A$4:$A$53,0)),"Mã chưa có trong MA DVVC"))</f>
        <v/>
      </c>
      <c r="G144" s="12" t="str">
        <f aca="false">IF(B144="","",COUNTIF('BANG CAN'!$F$8:$F$1007,B144))</f>
        <v/>
      </c>
      <c r="H144" s="4"/>
    </row>
    <row r="145" customFormat="false" ht="15" hidden="false" customHeight="false" outlineLevel="0" collapsed="false">
      <c r="A145" s="12" t="str">
        <f aca="false">IF(B145="","",COUNTA($B$6:B145))</f>
        <v/>
      </c>
      <c r="B145" s="15"/>
      <c r="C145" s="4"/>
      <c r="D145" s="23"/>
      <c r="E145" s="15"/>
      <c r="F145" s="24" t="str">
        <f aca="false">IF(E145="","",IFERROR(INDEX('MA DVVC'!$B$4:$B$53,MATCH(E145,'MA DVVC'!$A$4:$A$53,0)),"Mã chưa có trong MA DVVC"))</f>
        <v/>
      </c>
      <c r="G145" s="12" t="str">
        <f aca="false">IF(B145="","",COUNTIF('BANG CAN'!$F$8:$F$1007,B145))</f>
        <v/>
      </c>
      <c r="H145" s="4"/>
    </row>
    <row r="146" customFormat="false" ht="15" hidden="false" customHeight="false" outlineLevel="0" collapsed="false">
      <c r="A146" s="12" t="str">
        <f aca="false">IF(B146="","",COUNTA($B$6:B146))</f>
        <v/>
      </c>
      <c r="B146" s="15"/>
      <c r="C146" s="4"/>
      <c r="D146" s="23"/>
      <c r="E146" s="15"/>
      <c r="F146" s="24" t="str">
        <f aca="false">IF(E146="","",IFERROR(INDEX('MA DVVC'!$B$4:$B$53,MATCH(E146,'MA DVVC'!$A$4:$A$53,0)),"Mã chưa có trong MA DVVC"))</f>
        <v/>
      </c>
      <c r="G146" s="12" t="str">
        <f aca="false">IF(B146="","",COUNTIF('BANG CAN'!$F$8:$F$1007,B146))</f>
        <v/>
      </c>
      <c r="H146" s="4"/>
    </row>
    <row r="147" customFormat="false" ht="15" hidden="false" customHeight="false" outlineLevel="0" collapsed="false">
      <c r="A147" s="12" t="str">
        <f aca="false">IF(B147="","",COUNTA($B$6:B147))</f>
        <v/>
      </c>
      <c r="B147" s="15"/>
      <c r="C147" s="4"/>
      <c r="D147" s="23"/>
      <c r="E147" s="15"/>
      <c r="F147" s="24" t="str">
        <f aca="false">IF(E147="","",IFERROR(INDEX('MA DVVC'!$B$4:$B$53,MATCH(E147,'MA DVVC'!$A$4:$A$53,0)),"Mã chưa có trong MA DVVC"))</f>
        <v/>
      </c>
      <c r="G147" s="12" t="str">
        <f aca="false">IF(B147="","",COUNTIF('BANG CAN'!$F$8:$F$1007,B147))</f>
        <v/>
      </c>
      <c r="H147" s="4"/>
    </row>
    <row r="148" customFormat="false" ht="15" hidden="false" customHeight="false" outlineLevel="0" collapsed="false">
      <c r="A148" s="12" t="str">
        <f aca="false">IF(B148="","",COUNTA($B$6:B148))</f>
        <v/>
      </c>
      <c r="B148" s="15"/>
      <c r="C148" s="4"/>
      <c r="D148" s="23"/>
      <c r="E148" s="15"/>
      <c r="F148" s="24" t="str">
        <f aca="false">IF(E148="","",IFERROR(INDEX('MA DVVC'!$B$4:$B$53,MATCH(E148,'MA DVVC'!$A$4:$A$53,0)),"Mã chưa có trong MA DVVC"))</f>
        <v/>
      </c>
      <c r="G148" s="12" t="str">
        <f aca="false">IF(B148="","",COUNTIF('BANG CAN'!$F$8:$F$1007,B148))</f>
        <v/>
      </c>
      <c r="H148" s="4"/>
    </row>
    <row r="149" customFormat="false" ht="15" hidden="false" customHeight="false" outlineLevel="0" collapsed="false">
      <c r="A149" s="12" t="str">
        <f aca="false">IF(B149="","",COUNTA($B$6:B149))</f>
        <v/>
      </c>
      <c r="B149" s="15"/>
      <c r="C149" s="4"/>
      <c r="D149" s="23"/>
      <c r="E149" s="15"/>
      <c r="F149" s="24" t="str">
        <f aca="false">IF(E149="","",IFERROR(INDEX('MA DVVC'!$B$4:$B$53,MATCH(E149,'MA DVVC'!$A$4:$A$53,0)),"Mã chưa có trong MA DVVC"))</f>
        <v/>
      </c>
      <c r="G149" s="12" t="str">
        <f aca="false">IF(B149="","",COUNTIF('BANG CAN'!$F$8:$F$1007,B149))</f>
        <v/>
      </c>
      <c r="H149" s="4"/>
    </row>
    <row r="150" customFormat="false" ht="15" hidden="false" customHeight="false" outlineLevel="0" collapsed="false">
      <c r="A150" s="12" t="str">
        <f aca="false">IF(B150="","",COUNTA($B$6:B150))</f>
        <v/>
      </c>
      <c r="B150" s="15"/>
      <c r="C150" s="4"/>
      <c r="D150" s="23"/>
      <c r="E150" s="15"/>
      <c r="F150" s="24" t="str">
        <f aca="false">IF(E150="","",IFERROR(INDEX('MA DVVC'!$B$4:$B$53,MATCH(E150,'MA DVVC'!$A$4:$A$53,0)),"Mã chưa có trong MA DVVC"))</f>
        <v/>
      </c>
      <c r="G150" s="12" t="str">
        <f aca="false">IF(B150="","",COUNTIF('BANG CAN'!$F$8:$F$1007,B150))</f>
        <v/>
      </c>
      <c r="H150" s="4"/>
    </row>
    <row r="151" customFormat="false" ht="15" hidden="false" customHeight="false" outlineLevel="0" collapsed="false">
      <c r="A151" s="12" t="str">
        <f aca="false">IF(B151="","",COUNTA($B$6:B151))</f>
        <v/>
      </c>
      <c r="B151" s="15"/>
      <c r="C151" s="4"/>
      <c r="D151" s="23"/>
      <c r="E151" s="15"/>
      <c r="F151" s="24" t="str">
        <f aca="false">IF(E151="","",IFERROR(INDEX('MA DVVC'!$B$4:$B$53,MATCH(E151,'MA DVVC'!$A$4:$A$53,0)),"Mã chưa có trong MA DVVC"))</f>
        <v/>
      </c>
      <c r="G151" s="12" t="str">
        <f aca="false">IF(B151="","",COUNTIF('BANG CAN'!$F$8:$F$1007,B151))</f>
        <v/>
      </c>
      <c r="H151" s="4"/>
    </row>
    <row r="152" customFormat="false" ht="15" hidden="false" customHeight="false" outlineLevel="0" collapsed="false">
      <c r="A152" s="12" t="str">
        <f aca="false">IF(B152="","",COUNTA($B$6:B152))</f>
        <v/>
      </c>
      <c r="B152" s="15"/>
      <c r="C152" s="4"/>
      <c r="D152" s="23"/>
      <c r="E152" s="15"/>
      <c r="F152" s="24" t="str">
        <f aca="false">IF(E152="","",IFERROR(INDEX('MA DVVC'!$B$4:$B$53,MATCH(E152,'MA DVVC'!$A$4:$A$53,0)),"Mã chưa có trong MA DVVC"))</f>
        <v/>
      </c>
      <c r="G152" s="12" t="str">
        <f aca="false">IF(B152="","",COUNTIF('BANG CAN'!$F$8:$F$1007,B152))</f>
        <v/>
      </c>
      <c r="H152" s="4"/>
    </row>
    <row r="153" customFormat="false" ht="15" hidden="false" customHeight="false" outlineLevel="0" collapsed="false">
      <c r="A153" s="12" t="str">
        <f aca="false">IF(B153="","",COUNTA($B$6:B153))</f>
        <v/>
      </c>
      <c r="B153" s="15"/>
      <c r="C153" s="4"/>
      <c r="D153" s="23"/>
      <c r="E153" s="15"/>
      <c r="F153" s="24" t="str">
        <f aca="false">IF(E153="","",IFERROR(INDEX('MA DVVC'!$B$4:$B$53,MATCH(E153,'MA DVVC'!$A$4:$A$53,0)),"Mã chưa có trong MA DVVC"))</f>
        <v/>
      </c>
      <c r="G153" s="12" t="str">
        <f aca="false">IF(B153="","",COUNTIF('BANG CAN'!$F$8:$F$1007,B153))</f>
        <v/>
      </c>
      <c r="H153" s="4"/>
    </row>
    <row r="154" customFormat="false" ht="15" hidden="false" customHeight="false" outlineLevel="0" collapsed="false">
      <c r="A154" s="12" t="str">
        <f aca="false">IF(B154="","",COUNTA($B$6:B154))</f>
        <v/>
      </c>
      <c r="B154" s="15"/>
      <c r="C154" s="4"/>
      <c r="D154" s="23"/>
      <c r="E154" s="15"/>
      <c r="F154" s="24" t="str">
        <f aca="false">IF(E154="","",IFERROR(INDEX('MA DVVC'!$B$4:$B$53,MATCH(E154,'MA DVVC'!$A$4:$A$53,0)),"Mã chưa có trong MA DVVC"))</f>
        <v/>
      </c>
      <c r="G154" s="12" t="str">
        <f aca="false">IF(B154="","",COUNTIF('BANG CAN'!$F$8:$F$1007,B154))</f>
        <v/>
      </c>
      <c r="H154" s="4"/>
    </row>
    <row r="155" customFormat="false" ht="15" hidden="false" customHeight="false" outlineLevel="0" collapsed="false">
      <c r="A155" s="12" t="str">
        <f aca="false">IF(B155="","",COUNTA($B$6:B155))</f>
        <v/>
      </c>
      <c r="B155" s="15"/>
      <c r="C155" s="4"/>
      <c r="D155" s="23"/>
      <c r="E155" s="15"/>
      <c r="F155" s="24" t="str">
        <f aca="false">IF(E155="","",IFERROR(INDEX('MA DVVC'!$B$4:$B$53,MATCH(E155,'MA DVVC'!$A$4:$A$53,0)),"Mã chưa có trong MA DVVC"))</f>
        <v/>
      </c>
      <c r="G155" s="12" t="str">
        <f aca="false">IF(B155="","",COUNTIF('BANG CAN'!$F$8:$F$1007,B155))</f>
        <v/>
      </c>
      <c r="H155" s="4"/>
    </row>
    <row r="156" customFormat="false" ht="15" hidden="false" customHeight="false" outlineLevel="0" collapsed="false">
      <c r="A156" s="12" t="str">
        <f aca="false">IF(B156="","",COUNTA($B$6:B156))</f>
        <v/>
      </c>
      <c r="B156" s="15"/>
      <c r="C156" s="4"/>
      <c r="D156" s="23"/>
      <c r="E156" s="15"/>
      <c r="F156" s="24" t="str">
        <f aca="false">IF(E156="","",IFERROR(INDEX('MA DVVC'!$B$4:$B$53,MATCH(E156,'MA DVVC'!$A$4:$A$53,0)),"Mã chưa có trong MA DVVC"))</f>
        <v/>
      </c>
      <c r="G156" s="12" t="str">
        <f aca="false">IF(B156="","",COUNTIF('BANG CAN'!$F$8:$F$1007,B156))</f>
        <v/>
      </c>
      <c r="H156" s="4"/>
    </row>
    <row r="157" customFormat="false" ht="15" hidden="false" customHeight="false" outlineLevel="0" collapsed="false">
      <c r="A157" s="12" t="str">
        <f aca="false">IF(B157="","",COUNTA($B$6:B157))</f>
        <v/>
      </c>
      <c r="B157" s="15"/>
      <c r="C157" s="4"/>
      <c r="D157" s="23"/>
      <c r="E157" s="15"/>
      <c r="F157" s="24" t="str">
        <f aca="false">IF(E157="","",IFERROR(INDEX('MA DVVC'!$B$4:$B$53,MATCH(E157,'MA DVVC'!$A$4:$A$53,0)),"Mã chưa có trong MA DVVC"))</f>
        <v/>
      </c>
      <c r="G157" s="12" t="str">
        <f aca="false">IF(B157="","",COUNTIF('BANG CAN'!$F$8:$F$1007,B157))</f>
        <v/>
      </c>
      <c r="H157" s="4"/>
    </row>
    <row r="158" customFormat="false" ht="15" hidden="false" customHeight="false" outlineLevel="0" collapsed="false">
      <c r="A158" s="12" t="str">
        <f aca="false">IF(B158="","",COUNTA($B$6:B158))</f>
        <v/>
      </c>
      <c r="B158" s="15"/>
      <c r="C158" s="4"/>
      <c r="D158" s="23"/>
      <c r="E158" s="15"/>
      <c r="F158" s="24" t="str">
        <f aca="false">IF(E158="","",IFERROR(INDEX('MA DVVC'!$B$4:$B$53,MATCH(E158,'MA DVVC'!$A$4:$A$53,0)),"Mã chưa có trong MA DVVC"))</f>
        <v/>
      </c>
      <c r="G158" s="12" t="str">
        <f aca="false">IF(B158="","",COUNTIF('BANG CAN'!$F$8:$F$1007,B158))</f>
        <v/>
      </c>
      <c r="H158" s="4"/>
    </row>
    <row r="159" customFormat="false" ht="15" hidden="false" customHeight="false" outlineLevel="0" collapsed="false">
      <c r="A159" s="12" t="str">
        <f aca="false">IF(B159="","",COUNTA($B$6:B159))</f>
        <v/>
      </c>
      <c r="B159" s="15"/>
      <c r="C159" s="4"/>
      <c r="D159" s="23"/>
      <c r="E159" s="15"/>
      <c r="F159" s="24" t="str">
        <f aca="false">IF(E159="","",IFERROR(INDEX('MA DVVC'!$B$4:$B$53,MATCH(E159,'MA DVVC'!$A$4:$A$53,0)),"Mã chưa có trong MA DVVC"))</f>
        <v/>
      </c>
      <c r="G159" s="12" t="str">
        <f aca="false">IF(B159="","",COUNTIF('BANG CAN'!$F$8:$F$1007,B159))</f>
        <v/>
      </c>
      <c r="H159" s="4"/>
    </row>
    <row r="160" customFormat="false" ht="15" hidden="false" customHeight="false" outlineLevel="0" collapsed="false">
      <c r="A160" s="12" t="str">
        <f aca="false">IF(B160="","",COUNTA($B$6:B160))</f>
        <v/>
      </c>
      <c r="B160" s="15"/>
      <c r="C160" s="4"/>
      <c r="D160" s="23"/>
      <c r="E160" s="15"/>
      <c r="F160" s="24" t="str">
        <f aca="false">IF(E160="","",IFERROR(INDEX('MA DVVC'!$B$4:$B$53,MATCH(E160,'MA DVVC'!$A$4:$A$53,0)),"Mã chưa có trong MA DVVC"))</f>
        <v/>
      </c>
      <c r="G160" s="12" t="str">
        <f aca="false">IF(B160="","",COUNTIF('BANG CAN'!$F$8:$F$1007,B160))</f>
        <v/>
      </c>
      <c r="H160" s="4"/>
    </row>
    <row r="161" customFormat="false" ht="15" hidden="false" customHeight="false" outlineLevel="0" collapsed="false">
      <c r="A161" s="12" t="str">
        <f aca="false">IF(B161="","",COUNTA($B$6:B161))</f>
        <v/>
      </c>
      <c r="B161" s="15"/>
      <c r="C161" s="4"/>
      <c r="D161" s="23"/>
      <c r="E161" s="15"/>
      <c r="F161" s="24" t="str">
        <f aca="false">IF(E161="","",IFERROR(INDEX('MA DVVC'!$B$4:$B$53,MATCH(E161,'MA DVVC'!$A$4:$A$53,0)),"Mã chưa có trong MA DVVC"))</f>
        <v/>
      </c>
      <c r="G161" s="12" t="str">
        <f aca="false">IF(B161="","",COUNTIF('BANG CAN'!$F$8:$F$1007,B161))</f>
        <v/>
      </c>
      <c r="H161" s="4"/>
    </row>
    <row r="162" customFormat="false" ht="15" hidden="false" customHeight="false" outlineLevel="0" collapsed="false">
      <c r="A162" s="12" t="str">
        <f aca="false">IF(B162="","",COUNTA($B$6:B162))</f>
        <v/>
      </c>
      <c r="B162" s="15"/>
      <c r="C162" s="4"/>
      <c r="D162" s="23"/>
      <c r="E162" s="15"/>
      <c r="F162" s="24" t="str">
        <f aca="false">IF(E162="","",IFERROR(INDEX('MA DVVC'!$B$4:$B$53,MATCH(E162,'MA DVVC'!$A$4:$A$53,0)),"Mã chưa có trong MA DVVC"))</f>
        <v/>
      </c>
      <c r="G162" s="12" t="str">
        <f aca="false">IF(B162="","",COUNTIF('BANG CAN'!$F$8:$F$1007,B162))</f>
        <v/>
      </c>
      <c r="H162" s="4"/>
    </row>
    <row r="163" customFormat="false" ht="15" hidden="false" customHeight="false" outlineLevel="0" collapsed="false">
      <c r="A163" s="12" t="str">
        <f aca="false">IF(B163="","",COUNTA($B$6:B163))</f>
        <v/>
      </c>
      <c r="B163" s="15"/>
      <c r="C163" s="4"/>
      <c r="D163" s="23"/>
      <c r="E163" s="15"/>
      <c r="F163" s="24" t="str">
        <f aca="false">IF(E163="","",IFERROR(INDEX('MA DVVC'!$B$4:$B$53,MATCH(E163,'MA DVVC'!$A$4:$A$53,0)),"Mã chưa có trong MA DVVC"))</f>
        <v/>
      </c>
      <c r="G163" s="12" t="str">
        <f aca="false">IF(B163="","",COUNTIF('BANG CAN'!$F$8:$F$1007,B163))</f>
        <v/>
      </c>
      <c r="H163" s="4"/>
    </row>
    <row r="164" customFormat="false" ht="15" hidden="false" customHeight="false" outlineLevel="0" collapsed="false">
      <c r="A164" s="12" t="str">
        <f aca="false">IF(B164="","",COUNTA($B$6:B164))</f>
        <v/>
      </c>
      <c r="B164" s="15"/>
      <c r="C164" s="4"/>
      <c r="D164" s="23"/>
      <c r="E164" s="15"/>
      <c r="F164" s="24" t="str">
        <f aca="false">IF(E164="","",IFERROR(INDEX('MA DVVC'!$B$4:$B$53,MATCH(E164,'MA DVVC'!$A$4:$A$53,0)),"Mã chưa có trong MA DVVC"))</f>
        <v/>
      </c>
      <c r="G164" s="12" t="str">
        <f aca="false">IF(B164="","",COUNTIF('BANG CAN'!$F$8:$F$1007,B164))</f>
        <v/>
      </c>
      <c r="H164" s="4"/>
    </row>
    <row r="165" customFormat="false" ht="15" hidden="false" customHeight="false" outlineLevel="0" collapsed="false">
      <c r="A165" s="12" t="str">
        <f aca="false">IF(B165="","",COUNTA($B$6:B165))</f>
        <v/>
      </c>
      <c r="B165" s="15"/>
      <c r="C165" s="4"/>
      <c r="D165" s="23"/>
      <c r="E165" s="15"/>
      <c r="F165" s="24" t="str">
        <f aca="false">IF(E165="","",IFERROR(INDEX('MA DVVC'!$B$4:$B$53,MATCH(E165,'MA DVVC'!$A$4:$A$53,0)),"Mã chưa có trong MA DVVC"))</f>
        <v/>
      </c>
      <c r="G165" s="12" t="str">
        <f aca="false">IF(B165="","",COUNTIF('BANG CAN'!$F$8:$F$1007,B165))</f>
        <v/>
      </c>
      <c r="H165" s="4"/>
    </row>
    <row r="166" customFormat="false" ht="15" hidden="false" customHeight="false" outlineLevel="0" collapsed="false">
      <c r="A166" s="12" t="str">
        <f aca="false">IF(B166="","",COUNTA($B$6:B166))</f>
        <v/>
      </c>
      <c r="B166" s="15"/>
      <c r="C166" s="4"/>
      <c r="D166" s="23"/>
      <c r="E166" s="15"/>
      <c r="F166" s="24" t="str">
        <f aca="false">IF(E166="","",IFERROR(INDEX('MA DVVC'!$B$4:$B$53,MATCH(E166,'MA DVVC'!$A$4:$A$53,0)),"Mã chưa có trong MA DVVC"))</f>
        <v/>
      </c>
      <c r="G166" s="12" t="str">
        <f aca="false">IF(B166="","",COUNTIF('BANG CAN'!$F$8:$F$1007,B166))</f>
        <v/>
      </c>
      <c r="H166" s="4"/>
    </row>
    <row r="167" customFormat="false" ht="15" hidden="false" customHeight="false" outlineLevel="0" collapsed="false">
      <c r="A167" s="12" t="str">
        <f aca="false">IF(B167="","",COUNTA($B$6:B167))</f>
        <v/>
      </c>
      <c r="B167" s="15"/>
      <c r="C167" s="4"/>
      <c r="D167" s="23"/>
      <c r="E167" s="15"/>
      <c r="F167" s="24" t="str">
        <f aca="false">IF(E167="","",IFERROR(INDEX('MA DVVC'!$B$4:$B$53,MATCH(E167,'MA DVVC'!$A$4:$A$53,0)),"Mã chưa có trong MA DVVC"))</f>
        <v/>
      </c>
      <c r="G167" s="12" t="str">
        <f aca="false">IF(B167="","",COUNTIF('BANG CAN'!$F$8:$F$1007,B167))</f>
        <v/>
      </c>
      <c r="H167" s="4"/>
    </row>
    <row r="168" customFormat="false" ht="15" hidden="false" customHeight="false" outlineLevel="0" collapsed="false">
      <c r="A168" s="12" t="str">
        <f aca="false">IF(B168="","",COUNTA($B$6:B168))</f>
        <v/>
      </c>
      <c r="B168" s="15"/>
      <c r="C168" s="4"/>
      <c r="D168" s="23"/>
      <c r="E168" s="15"/>
      <c r="F168" s="24" t="str">
        <f aca="false">IF(E168="","",IFERROR(INDEX('MA DVVC'!$B$4:$B$53,MATCH(E168,'MA DVVC'!$A$4:$A$53,0)),"Mã chưa có trong MA DVVC"))</f>
        <v/>
      </c>
      <c r="G168" s="12" t="str">
        <f aca="false">IF(B168="","",COUNTIF('BANG CAN'!$F$8:$F$1007,B168))</f>
        <v/>
      </c>
      <c r="H168" s="4"/>
    </row>
    <row r="169" customFormat="false" ht="15" hidden="false" customHeight="false" outlineLevel="0" collapsed="false">
      <c r="A169" s="12" t="str">
        <f aca="false">IF(B169="","",COUNTA($B$6:B169))</f>
        <v/>
      </c>
      <c r="B169" s="15"/>
      <c r="C169" s="4"/>
      <c r="D169" s="23"/>
      <c r="E169" s="15"/>
      <c r="F169" s="24" t="str">
        <f aca="false">IF(E169="","",IFERROR(INDEX('MA DVVC'!$B$4:$B$53,MATCH(E169,'MA DVVC'!$A$4:$A$53,0)),"Mã chưa có trong MA DVVC"))</f>
        <v/>
      </c>
      <c r="G169" s="12" t="str">
        <f aca="false">IF(B169="","",COUNTIF('BANG CAN'!$F$8:$F$1007,B169))</f>
        <v/>
      </c>
      <c r="H169" s="4"/>
    </row>
    <row r="170" customFormat="false" ht="15" hidden="false" customHeight="false" outlineLevel="0" collapsed="false">
      <c r="A170" s="12" t="str">
        <f aca="false">IF(B170="","",COUNTA($B$6:B170))</f>
        <v/>
      </c>
      <c r="B170" s="15"/>
      <c r="C170" s="4"/>
      <c r="D170" s="23"/>
      <c r="E170" s="15"/>
      <c r="F170" s="24" t="str">
        <f aca="false">IF(E170="","",IFERROR(INDEX('MA DVVC'!$B$4:$B$53,MATCH(E170,'MA DVVC'!$A$4:$A$53,0)),"Mã chưa có trong MA DVVC"))</f>
        <v/>
      </c>
      <c r="G170" s="12" t="str">
        <f aca="false">IF(B170="","",COUNTIF('BANG CAN'!$F$8:$F$1007,B170))</f>
        <v/>
      </c>
      <c r="H170" s="4"/>
    </row>
    <row r="171" customFormat="false" ht="15" hidden="false" customHeight="false" outlineLevel="0" collapsed="false">
      <c r="A171" s="12" t="str">
        <f aca="false">IF(B171="","",COUNTA($B$6:B171))</f>
        <v/>
      </c>
      <c r="B171" s="15"/>
      <c r="C171" s="4"/>
      <c r="D171" s="23"/>
      <c r="E171" s="15"/>
      <c r="F171" s="24" t="str">
        <f aca="false">IF(E171="","",IFERROR(INDEX('MA DVVC'!$B$4:$B$53,MATCH(E171,'MA DVVC'!$A$4:$A$53,0)),"Mã chưa có trong MA DVVC"))</f>
        <v/>
      </c>
      <c r="G171" s="12" t="str">
        <f aca="false">IF(B171="","",COUNTIF('BANG CAN'!$F$8:$F$1007,B171))</f>
        <v/>
      </c>
      <c r="H171" s="4"/>
    </row>
    <row r="172" customFormat="false" ht="15" hidden="false" customHeight="false" outlineLevel="0" collapsed="false">
      <c r="A172" s="12" t="str">
        <f aca="false">IF(B172="","",COUNTA($B$6:B172))</f>
        <v/>
      </c>
      <c r="B172" s="15"/>
      <c r="C172" s="4"/>
      <c r="D172" s="23"/>
      <c r="E172" s="15"/>
      <c r="F172" s="24" t="str">
        <f aca="false">IF(E172="","",IFERROR(INDEX('MA DVVC'!$B$4:$B$53,MATCH(E172,'MA DVVC'!$A$4:$A$53,0)),"Mã chưa có trong MA DVVC"))</f>
        <v/>
      </c>
      <c r="G172" s="12" t="str">
        <f aca="false">IF(B172="","",COUNTIF('BANG CAN'!$F$8:$F$1007,B172))</f>
        <v/>
      </c>
      <c r="H172" s="4"/>
    </row>
    <row r="173" customFormat="false" ht="15" hidden="false" customHeight="false" outlineLevel="0" collapsed="false">
      <c r="A173" s="12" t="str">
        <f aca="false">IF(B173="","",COUNTA($B$6:B173))</f>
        <v/>
      </c>
      <c r="B173" s="15"/>
      <c r="C173" s="4"/>
      <c r="D173" s="23"/>
      <c r="E173" s="15"/>
      <c r="F173" s="24" t="str">
        <f aca="false">IF(E173="","",IFERROR(INDEX('MA DVVC'!$B$4:$B$53,MATCH(E173,'MA DVVC'!$A$4:$A$53,0)),"Mã chưa có trong MA DVVC"))</f>
        <v/>
      </c>
      <c r="G173" s="12" t="str">
        <f aca="false">IF(B173="","",COUNTIF('BANG CAN'!$F$8:$F$1007,B173))</f>
        <v/>
      </c>
      <c r="H173" s="4"/>
    </row>
    <row r="174" customFormat="false" ht="15" hidden="false" customHeight="false" outlineLevel="0" collapsed="false">
      <c r="A174" s="12" t="str">
        <f aca="false">IF(B174="","",COUNTA($B$6:B174))</f>
        <v/>
      </c>
      <c r="B174" s="15"/>
      <c r="C174" s="4"/>
      <c r="D174" s="23"/>
      <c r="E174" s="15"/>
      <c r="F174" s="24" t="str">
        <f aca="false">IF(E174="","",IFERROR(INDEX('MA DVVC'!$B$4:$B$53,MATCH(E174,'MA DVVC'!$A$4:$A$53,0)),"Mã chưa có trong MA DVVC"))</f>
        <v/>
      </c>
      <c r="G174" s="12" t="str">
        <f aca="false">IF(B174="","",COUNTIF('BANG CAN'!$F$8:$F$1007,B174))</f>
        <v/>
      </c>
      <c r="H174" s="4"/>
    </row>
    <row r="175" customFormat="false" ht="15" hidden="false" customHeight="false" outlineLevel="0" collapsed="false">
      <c r="A175" s="12" t="str">
        <f aca="false">IF(B175="","",COUNTA($B$6:B175))</f>
        <v/>
      </c>
      <c r="B175" s="15"/>
      <c r="C175" s="4"/>
      <c r="D175" s="23"/>
      <c r="E175" s="15"/>
      <c r="F175" s="24" t="str">
        <f aca="false">IF(E175="","",IFERROR(INDEX('MA DVVC'!$B$4:$B$53,MATCH(E175,'MA DVVC'!$A$4:$A$53,0)),"Mã chưa có trong MA DVVC"))</f>
        <v/>
      </c>
      <c r="G175" s="12" t="str">
        <f aca="false">IF(B175="","",COUNTIF('BANG CAN'!$F$8:$F$1007,B175))</f>
        <v/>
      </c>
      <c r="H175" s="4"/>
    </row>
    <row r="176" customFormat="false" ht="15" hidden="false" customHeight="false" outlineLevel="0" collapsed="false">
      <c r="A176" s="12" t="str">
        <f aca="false">IF(B176="","",COUNTA($B$6:B176))</f>
        <v/>
      </c>
      <c r="B176" s="15"/>
      <c r="C176" s="4"/>
      <c r="D176" s="23"/>
      <c r="E176" s="15"/>
      <c r="F176" s="24" t="str">
        <f aca="false">IF(E176="","",IFERROR(INDEX('MA DVVC'!$B$4:$B$53,MATCH(E176,'MA DVVC'!$A$4:$A$53,0)),"Mã chưa có trong MA DVVC"))</f>
        <v/>
      </c>
      <c r="G176" s="12" t="str">
        <f aca="false">IF(B176="","",COUNTIF('BANG CAN'!$F$8:$F$1007,B176))</f>
        <v/>
      </c>
      <c r="H176" s="4"/>
    </row>
    <row r="177" customFormat="false" ht="15" hidden="false" customHeight="false" outlineLevel="0" collapsed="false">
      <c r="A177" s="12" t="str">
        <f aca="false">IF(B177="","",COUNTA($B$6:B177))</f>
        <v/>
      </c>
      <c r="B177" s="15"/>
      <c r="C177" s="4"/>
      <c r="D177" s="23"/>
      <c r="E177" s="15"/>
      <c r="F177" s="24" t="str">
        <f aca="false">IF(E177="","",IFERROR(INDEX('MA DVVC'!$B$4:$B$53,MATCH(E177,'MA DVVC'!$A$4:$A$53,0)),"Mã chưa có trong MA DVVC"))</f>
        <v/>
      </c>
      <c r="G177" s="12" t="str">
        <f aca="false">IF(B177="","",COUNTIF('BANG CAN'!$F$8:$F$1007,B177))</f>
        <v/>
      </c>
      <c r="H177" s="4"/>
    </row>
    <row r="178" customFormat="false" ht="15" hidden="false" customHeight="false" outlineLevel="0" collapsed="false">
      <c r="A178" s="12" t="str">
        <f aca="false">IF(B178="","",COUNTA($B$6:B178))</f>
        <v/>
      </c>
      <c r="B178" s="15"/>
      <c r="C178" s="4"/>
      <c r="D178" s="23"/>
      <c r="E178" s="15"/>
      <c r="F178" s="24" t="str">
        <f aca="false">IF(E178="","",IFERROR(INDEX('MA DVVC'!$B$4:$B$53,MATCH(E178,'MA DVVC'!$A$4:$A$53,0)),"Mã chưa có trong MA DVVC"))</f>
        <v/>
      </c>
      <c r="G178" s="12" t="str">
        <f aca="false">IF(B178="","",COUNTIF('BANG CAN'!$F$8:$F$1007,B178))</f>
        <v/>
      </c>
      <c r="H178" s="4"/>
    </row>
    <row r="179" customFormat="false" ht="15" hidden="false" customHeight="false" outlineLevel="0" collapsed="false">
      <c r="A179" s="12" t="str">
        <f aca="false">IF(B179="","",COUNTA($B$6:B179))</f>
        <v/>
      </c>
      <c r="B179" s="15"/>
      <c r="C179" s="4"/>
      <c r="D179" s="23"/>
      <c r="E179" s="15"/>
      <c r="F179" s="24" t="str">
        <f aca="false">IF(E179="","",IFERROR(INDEX('MA DVVC'!$B$4:$B$53,MATCH(E179,'MA DVVC'!$A$4:$A$53,0)),"Mã chưa có trong MA DVVC"))</f>
        <v/>
      </c>
      <c r="G179" s="12" t="str">
        <f aca="false">IF(B179="","",COUNTIF('BANG CAN'!$F$8:$F$1007,B179))</f>
        <v/>
      </c>
      <c r="H179" s="4"/>
    </row>
    <row r="180" customFormat="false" ht="15" hidden="false" customHeight="false" outlineLevel="0" collapsed="false">
      <c r="A180" s="12" t="str">
        <f aca="false">IF(B180="","",COUNTA($B$6:B180))</f>
        <v/>
      </c>
      <c r="B180" s="15"/>
      <c r="C180" s="4"/>
      <c r="D180" s="23"/>
      <c r="E180" s="15"/>
      <c r="F180" s="24" t="str">
        <f aca="false">IF(E180="","",IFERROR(INDEX('MA DVVC'!$B$4:$B$53,MATCH(E180,'MA DVVC'!$A$4:$A$53,0)),"Mã chưa có trong MA DVVC"))</f>
        <v/>
      </c>
      <c r="G180" s="12" t="str">
        <f aca="false">IF(B180="","",COUNTIF('BANG CAN'!$F$8:$F$1007,B180))</f>
        <v/>
      </c>
      <c r="H180" s="4"/>
    </row>
    <row r="181" customFormat="false" ht="15" hidden="false" customHeight="false" outlineLevel="0" collapsed="false">
      <c r="A181" s="12" t="str">
        <f aca="false">IF(B181="","",COUNTA($B$6:B181))</f>
        <v/>
      </c>
      <c r="B181" s="15"/>
      <c r="C181" s="4"/>
      <c r="D181" s="23"/>
      <c r="E181" s="15"/>
      <c r="F181" s="24" t="str">
        <f aca="false">IF(E181="","",IFERROR(INDEX('MA DVVC'!$B$4:$B$53,MATCH(E181,'MA DVVC'!$A$4:$A$53,0)),"Mã chưa có trong MA DVVC"))</f>
        <v/>
      </c>
      <c r="G181" s="12" t="str">
        <f aca="false">IF(B181="","",COUNTIF('BANG CAN'!$F$8:$F$1007,B181))</f>
        <v/>
      </c>
      <c r="H181" s="4"/>
    </row>
    <row r="182" customFormat="false" ht="15" hidden="false" customHeight="false" outlineLevel="0" collapsed="false">
      <c r="A182" s="12" t="str">
        <f aca="false">IF(B182="","",COUNTA($B$6:B182))</f>
        <v/>
      </c>
      <c r="B182" s="15"/>
      <c r="C182" s="4"/>
      <c r="D182" s="23"/>
      <c r="E182" s="15"/>
      <c r="F182" s="24" t="str">
        <f aca="false">IF(E182="","",IFERROR(INDEX('MA DVVC'!$B$4:$B$53,MATCH(E182,'MA DVVC'!$A$4:$A$53,0)),"Mã chưa có trong MA DVVC"))</f>
        <v/>
      </c>
      <c r="G182" s="12" t="str">
        <f aca="false">IF(B182="","",COUNTIF('BANG CAN'!$F$8:$F$1007,B182))</f>
        <v/>
      </c>
      <c r="H182" s="4"/>
    </row>
    <row r="183" customFormat="false" ht="15" hidden="false" customHeight="false" outlineLevel="0" collapsed="false">
      <c r="A183" s="12" t="str">
        <f aca="false">IF(B183="","",COUNTA($B$6:B183))</f>
        <v/>
      </c>
      <c r="B183" s="15"/>
      <c r="C183" s="4"/>
      <c r="D183" s="23"/>
      <c r="E183" s="15"/>
      <c r="F183" s="24" t="str">
        <f aca="false">IF(E183="","",IFERROR(INDEX('MA DVVC'!$B$4:$B$53,MATCH(E183,'MA DVVC'!$A$4:$A$53,0)),"Mã chưa có trong MA DVVC"))</f>
        <v/>
      </c>
      <c r="G183" s="12" t="str">
        <f aca="false">IF(B183="","",COUNTIF('BANG CAN'!$F$8:$F$1007,B183))</f>
        <v/>
      </c>
      <c r="H183" s="4"/>
    </row>
    <row r="184" customFormat="false" ht="15" hidden="false" customHeight="false" outlineLevel="0" collapsed="false">
      <c r="A184" s="12" t="str">
        <f aca="false">IF(B184="","",COUNTA($B$6:B184))</f>
        <v/>
      </c>
      <c r="B184" s="15"/>
      <c r="C184" s="4"/>
      <c r="D184" s="23"/>
      <c r="E184" s="15"/>
      <c r="F184" s="24" t="str">
        <f aca="false">IF(E184="","",IFERROR(INDEX('MA DVVC'!$B$4:$B$53,MATCH(E184,'MA DVVC'!$A$4:$A$53,0)),"Mã chưa có trong MA DVVC"))</f>
        <v/>
      </c>
      <c r="G184" s="12" t="str">
        <f aca="false">IF(B184="","",COUNTIF('BANG CAN'!$F$8:$F$1007,B184))</f>
        <v/>
      </c>
      <c r="H184" s="4"/>
    </row>
    <row r="185" customFormat="false" ht="15" hidden="false" customHeight="false" outlineLevel="0" collapsed="false">
      <c r="A185" s="12" t="str">
        <f aca="false">IF(B185="","",COUNTA($B$6:B185))</f>
        <v/>
      </c>
      <c r="B185" s="15"/>
      <c r="C185" s="4"/>
      <c r="D185" s="23"/>
      <c r="E185" s="15"/>
      <c r="F185" s="24" t="str">
        <f aca="false">IF(E185="","",IFERROR(INDEX('MA DVVC'!$B$4:$B$53,MATCH(E185,'MA DVVC'!$A$4:$A$53,0)),"Mã chưa có trong MA DVVC"))</f>
        <v/>
      </c>
      <c r="G185" s="12" t="str">
        <f aca="false">IF(B185="","",COUNTIF('BANG CAN'!$F$8:$F$1007,B185))</f>
        <v/>
      </c>
      <c r="H185" s="4"/>
    </row>
    <row r="186" customFormat="false" ht="15" hidden="false" customHeight="false" outlineLevel="0" collapsed="false">
      <c r="A186" s="12" t="str">
        <f aca="false">IF(B186="","",COUNTA($B$6:B186))</f>
        <v/>
      </c>
      <c r="B186" s="15"/>
      <c r="C186" s="4"/>
      <c r="D186" s="23"/>
      <c r="E186" s="15"/>
      <c r="F186" s="24" t="str">
        <f aca="false">IF(E186="","",IFERROR(INDEX('MA DVVC'!$B$4:$B$53,MATCH(E186,'MA DVVC'!$A$4:$A$53,0)),"Mã chưa có trong MA DVVC"))</f>
        <v/>
      </c>
      <c r="G186" s="12" t="str">
        <f aca="false">IF(B186="","",COUNTIF('BANG CAN'!$F$8:$F$1007,B186))</f>
        <v/>
      </c>
      <c r="H186" s="4"/>
    </row>
    <row r="187" customFormat="false" ht="15" hidden="false" customHeight="false" outlineLevel="0" collapsed="false">
      <c r="A187" s="12" t="str">
        <f aca="false">IF(B187="","",COUNTA($B$6:B187))</f>
        <v/>
      </c>
      <c r="B187" s="15"/>
      <c r="C187" s="4"/>
      <c r="D187" s="23"/>
      <c r="E187" s="15"/>
      <c r="F187" s="24" t="str">
        <f aca="false">IF(E187="","",IFERROR(INDEX('MA DVVC'!$B$4:$B$53,MATCH(E187,'MA DVVC'!$A$4:$A$53,0)),"Mã chưa có trong MA DVVC"))</f>
        <v/>
      </c>
      <c r="G187" s="12" t="str">
        <f aca="false">IF(B187="","",COUNTIF('BANG CAN'!$F$8:$F$1007,B187))</f>
        <v/>
      </c>
      <c r="H187" s="4"/>
    </row>
    <row r="188" customFormat="false" ht="15" hidden="false" customHeight="false" outlineLevel="0" collapsed="false">
      <c r="A188" s="12" t="str">
        <f aca="false">IF(B188="","",COUNTA($B$6:B188))</f>
        <v/>
      </c>
      <c r="B188" s="15"/>
      <c r="C188" s="4"/>
      <c r="D188" s="23"/>
      <c r="E188" s="15"/>
      <c r="F188" s="24" t="str">
        <f aca="false">IF(E188="","",IFERROR(INDEX('MA DVVC'!$B$4:$B$53,MATCH(E188,'MA DVVC'!$A$4:$A$53,0)),"Mã chưa có trong MA DVVC"))</f>
        <v/>
      </c>
      <c r="G188" s="12" t="str">
        <f aca="false">IF(B188="","",COUNTIF('BANG CAN'!$F$8:$F$1007,B188))</f>
        <v/>
      </c>
      <c r="H188" s="4"/>
    </row>
    <row r="189" customFormat="false" ht="15" hidden="false" customHeight="false" outlineLevel="0" collapsed="false">
      <c r="A189" s="12" t="str">
        <f aca="false">IF(B189="","",COUNTA($B$6:B189))</f>
        <v/>
      </c>
      <c r="B189" s="15"/>
      <c r="C189" s="4"/>
      <c r="D189" s="23"/>
      <c r="E189" s="15"/>
      <c r="F189" s="24" t="str">
        <f aca="false">IF(E189="","",IFERROR(INDEX('MA DVVC'!$B$4:$B$53,MATCH(E189,'MA DVVC'!$A$4:$A$53,0)),"Mã chưa có trong MA DVVC"))</f>
        <v/>
      </c>
      <c r="G189" s="12" t="str">
        <f aca="false">IF(B189="","",COUNTIF('BANG CAN'!$F$8:$F$1007,B189))</f>
        <v/>
      </c>
      <c r="H189" s="4"/>
    </row>
    <row r="190" customFormat="false" ht="15" hidden="false" customHeight="false" outlineLevel="0" collapsed="false">
      <c r="A190" s="12" t="str">
        <f aca="false">IF(B190="","",COUNTA($B$6:B190))</f>
        <v/>
      </c>
      <c r="B190" s="15"/>
      <c r="C190" s="4"/>
      <c r="D190" s="23"/>
      <c r="E190" s="15"/>
      <c r="F190" s="24" t="str">
        <f aca="false">IF(E190="","",IFERROR(INDEX('MA DVVC'!$B$4:$B$53,MATCH(E190,'MA DVVC'!$A$4:$A$53,0)),"Mã chưa có trong MA DVVC"))</f>
        <v/>
      </c>
      <c r="G190" s="12" t="str">
        <f aca="false">IF(B190="","",COUNTIF('BANG CAN'!$F$8:$F$1007,B190))</f>
        <v/>
      </c>
      <c r="H190" s="4"/>
    </row>
    <row r="191" customFormat="false" ht="15" hidden="false" customHeight="false" outlineLevel="0" collapsed="false">
      <c r="A191" s="12" t="str">
        <f aca="false">IF(B191="","",COUNTA($B$6:B191))</f>
        <v/>
      </c>
      <c r="B191" s="15"/>
      <c r="C191" s="4"/>
      <c r="D191" s="23"/>
      <c r="E191" s="15"/>
      <c r="F191" s="24" t="str">
        <f aca="false">IF(E191="","",IFERROR(INDEX('MA DVVC'!$B$4:$B$53,MATCH(E191,'MA DVVC'!$A$4:$A$53,0)),"Mã chưa có trong MA DVVC"))</f>
        <v/>
      </c>
      <c r="G191" s="12" t="str">
        <f aca="false">IF(B191="","",COUNTIF('BANG CAN'!$F$8:$F$1007,B191))</f>
        <v/>
      </c>
      <c r="H191" s="4"/>
    </row>
    <row r="192" customFormat="false" ht="15" hidden="false" customHeight="false" outlineLevel="0" collapsed="false">
      <c r="A192" s="12" t="str">
        <f aca="false">IF(B192="","",COUNTA($B$6:B192))</f>
        <v/>
      </c>
      <c r="B192" s="15"/>
      <c r="C192" s="4"/>
      <c r="D192" s="23"/>
      <c r="E192" s="15"/>
      <c r="F192" s="24" t="str">
        <f aca="false">IF(E192="","",IFERROR(INDEX('MA DVVC'!$B$4:$B$53,MATCH(E192,'MA DVVC'!$A$4:$A$53,0)),"Mã chưa có trong MA DVVC"))</f>
        <v/>
      </c>
      <c r="G192" s="12" t="str">
        <f aca="false">IF(B192="","",COUNTIF('BANG CAN'!$F$8:$F$1007,B192))</f>
        <v/>
      </c>
      <c r="H192" s="4"/>
    </row>
    <row r="193" customFormat="false" ht="15" hidden="false" customHeight="false" outlineLevel="0" collapsed="false">
      <c r="A193" s="12" t="str">
        <f aca="false">IF(B193="","",COUNTA($B$6:B193))</f>
        <v/>
      </c>
      <c r="B193" s="15"/>
      <c r="C193" s="4"/>
      <c r="D193" s="23"/>
      <c r="E193" s="15"/>
      <c r="F193" s="24" t="str">
        <f aca="false">IF(E193="","",IFERROR(INDEX('MA DVVC'!$B$4:$B$53,MATCH(E193,'MA DVVC'!$A$4:$A$53,0)),"Mã chưa có trong MA DVVC"))</f>
        <v/>
      </c>
      <c r="G193" s="12" t="str">
        <f aca="false">IF(B193="","",COUNTIF('BANG CAN'!$F$8:$F$1007,B193))</f>
        <v/>
      </c>
      <c r="H193" s="4"/>
    </row>
    <row r="194" customFormat="false" ht="15" hidden="false" customHeight="false" outlineLevel="0" collapsed="false">
      <c r="A194" s="12" t="str">
        <f aca="false">IF(B194="","",COUNTA($B$6:B194))</f>
        <v/>
      </c>
      <c r="B194" s="15"/>
      <c r="C194" s="4"/>
      <c r="D194" s="23"/>
      <c r="E194" s="15"/>
      <c r="F194" s="24" t="str">
        <f aca="false">IF(E194="","",IFERROR(INDEX('MA DVVC'!$B$4:$B$53,MATCH(E194,'MA DVVC'!$A$4:$A$53,0)),"Mã chưa có trong MA DVVC"))</f>
        <v/>
      </c>
      <c r="G194" s="12" t="str">
        <f aca="false">IF(B194="","",COUNTIF('BANG CAN'!$F$8:$F$1007,B194))</f>
        <v/>
      </c>
      <c r="H194" s="4"/>
    </row>
    <row r="195" customFormat="false" ht="15" hidden="false" customHeight="false" outlineLevel="0" collapsed="false">
      <c r="A195" s="12" t="str">
        <f aca="false">IF(B195="","",COUNTA($B$6:B195))</f>
        <v/>
      </c>
      <c r="B195" s="15"/>
      <c r="C195" s="4"/>
      <c r="D195" s="23"/>
      <c r="E195" s="15"/>
      <c r="F195" s="24" t="str">
        <f aca="false">IF(E195="","",IFERROR(INDEX('MA DVVC'!$B$4:$B$53,MATCH(E195,'MA DVVC'!$A$4:$A$53,0)),"Mã chưa có trong MA DVVC"))</f>
        <v/>
      </c>
      <c r="G195" s="12" t="str">
        <f aca="false">IF(B195="","",COUNTIF('BANG CAN'!$F$8:$F$1007,B195))</f>
        <v/>
      </c>
      <c r="H195" s="4"/>
    </row>
    <row r="196" customFormat="false" ht="15" hidden="false" customHeight="false" outlineLevel="0" collapsed="false">
      <c r="A196" s="12" t="str">
        <f aca="false">IF(B196="","",COUNTA($B$6:B196))</f>
        <v/>
      </c>
      <c r="B196" s="15"/>
      <c r="C196" s="4"/>
      <c r="D196" s="23"/>
      <c r="E196" s="15"/>
      <c r="F196" s="24" t="str">
        <f aca="false">IF(E196="","",IFERROR(INDEX('MA DVVC'!$B$4:$B$53,MATCH(E196,'MA DVVC'!$A$4:$A$53,0)),"Mã chưa có trong MA DVVC"))</f>
        <v/>
      </c>
      <c r="G196" s="12" t="str">
        <f aca="false">IF(B196="","",COUNTIF('BANG CAN'!$F$8:$F$1007,B196))</f>
        <v/>
      </c>
      <c r="H196" s="4"/>
    </row>
    <row r="197" customFormat="false" ht="15" hidden="false" customHeight="false" outlineLevel="0" collapsed="false">
      <c r="A197" s="12" t="str">
        <f aca="false">IF(B197="","",COUNTA($B$6:B197))</f>
        <v/>
      </c>
      <c r="B197" s="15"/>
      <c r="C197" s="4"/>
      <c r="D197" s="23"/>
      <c r="E197" s="15"/>
      <c r="F197" s="24" t="str">
        <f aca="false">IF(E197="","",IFERROR(INDEX('MA DVVC'!$B$4:$B$53,MATCH(E197,'MA DVVC'!$A$4:$A$53,0)),"Mã chưa có trong MA DVVC"))</f>
        <v/>
      </c>
      <c r="G197" s="12" t="str">
        <f aca="false">IF(B197="","",COUNTIF('BANG CAN'!$F$8:$F$1007,B197))</f>
        <v/>
      </c>
      <c r="H197" s="4"/>
    </row>
    <row r="198" customFormat="false" ht="15" hidden="false" customHeight="false" outlineLevel="0" collapsed="false">
      <c r="A198" s="12" t="str">
        <f aca="false">IF(B198="","",COUNTA($B$6:B198))</f>
        <v/>
      </c>
      <c r="B198" s="15"/>
      <c r="C198" s="4"/>
      <c r="D198" s="23"/>
      <c r="E198" s="15"/>
      <c r="F198" s="24" t="str">
        <f aca="false">IF(E198="","",IFERROR(INDEX('MA DVVC'!$B$4:$B$53,MATCH(E198,'MA DVVC'!$A$4:$A$53,0)),"Mã chưa có trong MA DVVC"))</f>
        <v/>
      </c>
      <c r="G198" s="12" t="str">
        <f aca="false">IF(B198="","",COUNTIF('BANG CAN'!$F$8:$F$1007,B198))</f>
        <v/>
      </c>
      <c r="H198" s="4"/>
    </row>
    <row r="199" customFormat="false" ht="15" hidden="false" customHeight="false" outlineLevel="0" collapsed="false">
      <c r="A199" s="12" t="str">
        <f aca="false">IF(B199="","",COUNTA($B$6:B199))</f>
        <v/>
      </c>
      <c r="B199" s="15"/>
      <c r="C199" s="4"/>
      <c r="D199" s="23"/>
      <c r="E199" s="15"/>
      <c r="F199" s="24" t="str">
        <f aca="false">IF(E199="","",IFERROR(INDEX('MA DVVC'!$B$4:$B$53,MATCH(E199,'MA DVVC'!$A$4:$A$53,0)),"Mã chưa có trong MA DVVC"))</f>
        <v/>
      </c>
      <c r="G199" s="12" t="str">
        <f aca="false">IF(B199="","",COUNTIF('BANG CAN'!$F$8:$F$1007,B199))</f>
        <v/>
      </c>
      <c r="H199" s="4"/>
    </row>
    <row r="200" customFormat="false" ht="15" hidden="false" customHeight="false" outlineLevel="0" collapsed="false">
      <c r="A200" s="12" t="str">
        <f aca="false">IF(B200="","",COUNTA($B$6:B200))</f>
        <v/>
      </c>
      <c r="B200" s="15"/>
      <c r="C200" s="4"/>
      <c r="D200" s="23"/>
      <c r="E200" s="15"/>
      <c r="F200" s="24" t="str">
        <f aca="false">IF(E200="","",IFERROR(INDEX('MA DVVC'!$B$4:$B$53,MATCH(E200,'MA DVVC'!$A$4:$A$53,0)),"Mã chưa có trong MA DVVC"))</f>
        <v/>
      </c>
      <c r="G200" s="12" t="str">
        <f aca="false">IF(B200="","",COUNTIF('BANG CAN'!$F$8:$F$1007,B200))</f>
        <v/>
      </c>
      <c r="H200" s="4"/>
    </row>
    <row r="201" customFormat="false" ht="15" hidden="false" customHeight="false" outlineLevel="0" collapsed="false">
      <c r="A201" s="12" t="str">
        <f aca="false">IF(B201="","",COUNTA($B$6:B201))</f>
        <v/>
      </c>
      <c r="B201" s="15"/>
      <c r="C201" s="4"/>
      <c r="D201" s="23"/>
      <c r="E201" s="15"/>
      <c r="F201" s="24" t="str">
        <f aca="false">IF(E201="","",IFERROR(INDEX('MA DVVC'!$B$4:$B$53,MATCH(E201,'MA DVVC'!$A$4:$A$53,0)),"Mã chưa có trong MA DVVC"))</f>
        <v/>
      </c>
      <c r="G201" s="12" t="str">
        <f aca="false">IF(B201="","",COUNTIF('BANG CAN'!$F$8:$F$1007,B201))</f>
        <v/>
      </c>
      <c r="H201" s="4"/>
    </row>
    <row r="202" customFormat="false" ht="15" hidden="false" customHeight="false" outlineLevel="0" collapsed="false">
      <c r="A202" s="12" t="str">
        <f aca="false">IF(B202="","",COUNTA($B$6:B202))</f>
        <v/>
      </c>
      <c r="B202" s="15"/>
      <c r="C202" s="4"/>
      <c r="D202" s="23"/>
      <c r="E202" s="15"/>
      <c r="F202" s="24" t="str">
        <f aca="false">IF(E202="","",IFERROR(INDEX('MA DVVC'!$B$4:$B$53,MATCH(E202,'MA DVVC'!$A$4:$A$53,0)),"Mã chưa có trong MA DVVC"))</f>
        <v/>
      </c>
      <c r="G202" s="12" t="str">
        <f aca="false">IF(B202="","",COUNTIF('BANG CAN'!$F$8:$F$1007,B202))</f>
        <v/>
      </c>
      <c r="H202" s="4"/>
    </row>
    <row r="203" customFormat="false" ht="15" hidden="false" customHeight="false" outlineLevel="0" collapsed="false">
      <c r="A203" s="12" t="str">
        <f aca="false">IF(B203="","",COUNTA($B$6:B203))</f>
        <v/>
      </c>
      <c r="B203" s="15"/>
      <c r="C203" s="4"/>
      <c r="D203" s="23"/>
      <c r="E203" s="15"/>
      <c r="F203" s="24" t="str">
        <f aca="false">IF(E203="","",IFERROR(INDEX('MA DVVC'!$B$4:$B$53,MATCH(E203,'MA DVVC'!$A$4:$A$53,0)),"Mã chưa có trong MA DVVC"))</f>
        <v/>
      </c>
      <c r="G203" s="12" t="str">
        <f aca="false">IF(B203="","",COUNTIF('BANG CAN'!$F$8:$F$1007,B203))</f>
        <v/>
      </c>
      <c r="H203" s="4"/>
    </row>
    <row r="204" customFormat="false" ht="15" hidden="false" customHeight="false" outlineLevel="0" collapsed="false">
      <c r="A204" s="12" t="str">
        <f aca="false">IF(B204="","",COUNTA($B$6:B204))</f>
        <v/>
      </c>
      <c r="B204" s="15"/>
      <c r="C204" s="4"/>
      <c r="D204" s="23"/>
      <c r="E204" s="15"/>
      <c r="F204" s="24" t="str">
        <f aca="false">IF(E204="","",IFERROR(INDEX('MA DVVC'!$B$4:$B$53,MATCH(E204,'MA DVVC'!$A$4:$A$53,0)),"Mã chưa có trong MA DVVC"))</f>
        <v/>
      </c>
      <c r="G204" s="12" t="str">
        <f aca="false">IF(B204="","",COUNTIF('BANG CAN'!$F$8:$F$1007,B204))</f>
        <v/>
      </c>
      <c r="H204" s="4"/>
    </row>
    <row r="205" customFormat="false" ht="15" hidden="false" customHeight="false" outlineLevel="0" collapsed="false">
      <c r="A205" s="12" t="str">
        <f aca="false">IF(B205="","",COUNTA($B$6:B205))</f>
        <v/>
      </c>
      <c r="B205" s="15"/>
      <c r="C205" s="4"/>
      <c r="D205" s="23"/>
      <c r="E205" s="15"/>
      <c r="F205" s="24" t="str">
        <f aca="false">IF(E205="","",IFERROR(INDEX('MA DVVC'!$B$4:$B$53,MATCH(E205,'MA DVVC'!$A$4:$A$53,0)),"Mã chưa có trong MA DVVC"))</f>
        <v/>
      </c>
      <c r="G205" s="12" t="str">
        <f aca="false">IF(B205="","",COUNTIF('BANG CAN'!$F$8:$F$1007,B205))</f>
        <v/>
      </c>
      <c r="H205" s="4"/>
    </row>
    <row r="206" customFormat="false" ht="15" hidden="false" customHeight="false" outlineLevel="0" collapsed="false">
      <c r="A206" s="12" t="str">
        <f aca="false">IF(B206="","",COUNTA($B$6:B206))</f>
        <v/>
      </c>
      <c r="B206" s="15"/>
      <c r="C206" s="4"/>
      <c r="D206" s="23"/>
      <c r="E206" s="15"/>
      <c r="F206" s="24" t="str">
        <f aca="false">IF(E206="","",IFERROR(INDEX('MA DVVC'!$B$4:$B$53,MATCH(E206,'MA DVVC'!$A$4:$A$53,0)),"Mã chưa có trong MA DVVC"))</f>
        <v/>
      </c>
      <c r="G206" s="12" t="str">
        <f aca="false">IF(B206="","",COUNTIF('BANG CAN'!$F$8:$F$1007,B206))</f>
        <v/>
      </c>
      <c r="H206" s="4"/>
    </row>
    <row r="207" customFormat="false" ht="15" hidden="false" customHeight="false" outlineLevel="0" collapsed="false">
      <c r="A207" s="12" t="str">
        <f aca="false">IF(B207="","",COUNTA($B$6:B207))</f>
        <v/>
      </c>
      <c r="B207" s="15"/>
      <c r="C207" s="4"/>
      <c r="D207" s="23"/>
      <c r="E207" s="15"/>
      <c r="F207" s="24" t="str">
        <f aca="false">IF(E207="","",IFERROR(INDEX('MA DVVC'!$B$4:$B$53,MATCH(E207,'MA DVVC'!$A$4:$A$53,0)),"Mã chưa có trong MA DVVC"))</f>
        <v/>
      </c>
      <c r="G207" s="12" t="str">
        <f aca="false">IF(B207="","",COUNTIF('BANG CAN'!$F$8:$F$1007,B207))</f>
        <v/>
      </c>
      <c r="H207" s="4"/>
    </row>
    <row r="208" customFormat="false" ht="15" hidden="false" customHeight="false" outlineLevel="0" collapsed="false">
      <c r="A208" s="12" t="str">
        <f aca="false">IF(B208="","",COUNTA($B$6:B208))</f>
        <v/>
      </c>
      <c r="B208" s="15"/>
      <c r="C208" s="4"/>
      <c r="D208" s="23"/>
      <c r="E208" s="15"/>
      <c r="F208" s="24" t="str">
        <f aca="false">IF(E208="","",IFERROR(INDEX('MA DVVC'!$B$4:$B$53,MATCH(E208,'MA DVVC'!$A$4:$A$53,0)),"Mã chưa có trong MA DVVC"))</f>
        <v/>
      </c>
      <c r="G208" s="12" t="str">
        <f aca="false">IF(B208="","",COUNTIF('BANG CAN'!$F$8:$F$1007,B208))</f>
        <v/>
      </c>
      <c r="H208" s="4"/>
    </row>
    <row r="209" customFormat="false" ht="15" hidden="false" customHeight="false" outlineLevel="0" collapsed="false">
      <c r="A209" s="12" t="str">
        <f aca="false">IF(B209="","",COUNTA($B$6:B209))</f>
        <v/>
      </c>
      <c r="B209" s="15"/>
      <c r="C209" s="4"/>
      <c r="D209" s="23"/>
      <c r="E209" s="15"/>
      <c r="F209" s="24" t="str">
        <f aca="false">IF(E209="","",IFERROR(INDEX('MA DVVC'!$B$4:$B$53,MATCH(E209,'MA DVVC'!$A$4:$A$53,0)),"Mã chưa có trong MA DVVC"))</f>
        <v/>
      </c>
      <c r="G209" s="12" t="str">
        <f aca="false">IF(B209="","",COUNTIF('BANG CAN'!$F$8:$F$1007,B209))</f>
        <v/>
      </c>
      <c r="H209" s="4"/>
    </row>
    <row r="210" customFormat="false" ht="15" hidden="false" customHeight="false" outlineLevel="0" collapsed="false">
      <c r="A210" s="12" t="str">
        <f aca="false">IF(B210="","",COUNTA($B$6:B210))</f>
        <v/>
      </c>
      <c r="B210" s="15"/>
      <c r="C210" s="4"/>
      <c r="D210" s="23"/>
      <c r="E210" s="15"/>
      <c r="F210" s="24" t="str">
        <f aca="false">IF(E210="","",IFERROR(INDEX('MA DVVC'!$B$4:$B$53,MATCH(E210,'MA DVVC'!$A$4:$A$53,0)),"Mã chưa có trong MA DVVC"))</f>
        <v/>
      </c>
      <c r="G210" s="12" t="str">
        <f aca="false">IF(B210="","",COUNTIF('BANG CAN'!$F$8:$F$1007,B210))</f>
        <v/>
      </c>
      <c r="H210" s="4"/>
    </row>
    <row r="211" customFormat="false" ht="15" hidden="false" customHeight="false" outlineLevel="0" collapsed="false">
      <c r="A211" s="12" t="str">
        <f aca="false">IF(B211="","",COUNTA($B$6:B211))</f>
        <v/>
      </c>
      <c r="B211" s="15"/>
      <c r="C211" s="4"/>
      <c r="D211" s="23"/>
      <c r="E211" s="15"/>
      <c r="F211" s="24" t="str">
        <f aca="false">IF(E211="","",IFERROR(INDEX('MA DVVC'!$B$4:$B$53,MATCH(E211,'MA DVVC'!$A$4:$A$53,0)),"Mã chưa có trong MA DVVC"))</f>
        <v/>
      </c>
      <c r="G211" s="12" t="str">
        <f aca="false">IF(B211="","",COUNTIF('BANG CAN'!$F$8:$F$1007,B211))</f>
        <v/>
      </c>
      <c r="H211" s="4"/>
    </row>
    <row r="212" customFormat="false" ht="15" hidden="false" customHeight="false" outlineLevel="0" collapsed="false">
      <c r="A212" s="12" t="str">
        <f aca="false">IF(B212="","",COUNTA($B$6:B212))</f>
        <v/>
      </c>
      <c r="B212" s="15"/>
      <c r="C212" s="4"/>
      <c r="D212" s="23"/>
      <c r="E212" s="15"/>
      <c r="F212" s="24" t="str">
        <f aca="false">IF(E212="","",IFERROR(INDEX('MA DVVC'!$B$4:$B$53,MATCH(E212,'MA DVVC'!$A$4:$A$53,0)),"Mã chưa có trong MA DVVC"))</f>
        <v/>
      </c>
      <c r="G212" s="12" t="str">
        <f aca="false">IF(B212="","",COUNTIF('BANG CAN'!$F$8:$F$1007,B212))</f>
        <v/>
      </c>
      <c r="H212" s="4"/>
    </row>
    <row r="213" customFormat="false" ht="15" hidden="false" customHeight="false" outlineLevel="0" collapsed="false">
      <c r="A213" s="12" t="str">
        <f aca="false">IF(B213="","",COUNTA($B$6:B213))</f>
        <v/>
      </c>
      <c r="B213" s="15"/>
      <c r="C213" s="4"/>
      <c r="D213" s="23"/>
      <c r="E213" s="15"/>
      <c r="F213" s="24" t="str">
        <f aca="false">IF(E213="","",IFERROR(INDEX('MA DVVC'!$B$4:$B$53,MATCH(E213,'MA DVVC'!$A$4:$A$53,0)),"Mã chưa có trong MA DVVC"))</f>
        <v/>
      </c>
      <c r="G213" s="12" t="str">
        <f aca="false">IF(B213="","",COUNTIF('BANG CAN'!$F$8:$F$1007,B213))</f>
        <v/>
      </c>
      <c r="H213" s="4"/>
    </row>
    <row r="214" customFormat="false" ht="15" hidden="false" customHeight="false" outlineLevel="0" collapsed="false">
      <c r="A214" s="12" t="str">
        <f aca="false">IF(B214="","",COUNTA($B$6:B214))</f>
        <v/>
      </c>
      <c r="B214" s="15"/>
      <c r="C214" s="4"/>
      <c r="D214" s="23"/>
      <c r="E214" s="15"/>
      <c r="F214" s="24" t="str">
        <f aca="false">IF(E214="","",IFERROR(INDEX('MA DVVC'!$B$4:$B$53,MATCH(E214,'MA DVVC'!$A$4:$A$53,0)),"Mã chưa có trong MA DVVC"))</f>
        <v/>
      </c>
      <c r="G214" s="12" t="str">
        <f aca="false">IF(B214="","",COUNTIF('BANG CAN'!$F$8:$F$1007,B214))</f>
        <v/>
      </c>
      <c r="H214" s="4"/>
    </row>
    <row r="215" customFormat="false" ht="15" hidden="false" customHeight="false" outlineLevel="0" collapsed="false">
      <c r="A215" s="12" t="str">
        <f aca="false">IF(B215="","",COUNTA($B$6:B215))</f>
        <v/>
      </c>
      <c r="B215" s="15"/>
      <c r="C215" s="4"/>
      <c r="D215" s="23"/>
      <c r="E215" s="15"/>
      <c r="F215" s="24" t="str">
        <f aca="false">IF(E215="","",IFERROR(INDEX('MA DVVC'!$B$4:$B$53,MATCH(E215,'MA DVVC'!$A$4:$A$53,0)),"Mã chưa có trong MA DVVC"))</f>
        <v/>
      </c>
      <c r="G215" s="12" t="str">
        <f aca="false">IF(B215="","",COUNTIF('BANG CAN'!$F$8:$F$1007,B215))</f>
        <v/>
      </c>
      <c r="H215" s="4"/>
    </row>
    <row r="216" customFormat="false" ht="15" hidden="false" customHeight="false" outlineLevel="0" collapsed="false">
      <c r="A216" s="12" t="str">
        <f aca="false">IF(B216="","",COUNTA($B$6:B216))</f>
        <v/>
      </c>
      <c r="B216" s="15"/>
      <c r="C216" s="4"/>
      <c r="D216" s="23"/>
      <c r="E216" s="15"/>
      <c r="F216" s="24" t="str">
        <f aca="false">IF(E216="","",IFERROR(INDEX('MA DVVC'!$B$4:$B$53,MATCH(E216,'MA DVVC'!$A$4:$A$53,0)),"Mã chưa có trong MA DVVC"))</f>
        <v/>
      </c>
      <c r="G216" s="12" t="str">
        <f aca="false">IF(B216="","",COUNTIF('BANG CAN'!$F$8:$F$1007,B216))</f>
        <v/>
      </c>
      <c r="H216" s="4"/>
    </row>
    <row r="217" customFormat="false" ht="15" hidden="false" customHeight="false" outlineLevel="0" collapsed="false">
      <c r="A217" s="12" t="str">
        <f aca="false">IF(B217="","",COUNTA($B$6:B217))</f>
        <v/>
      </c>
      <c r="B217" s="15"/>
      <c r="C217" s="4"/>
      <c r="D217" s="23"/>
      <c r="E217" s="15"/>
      <c r="F217" s="24" t="str">
        <f aca="false">IF(E217="","",IFERROR(INDEX('MA DVVC'!$B$4:$B$53,MATCH(E217,'MA DVVC'!$A$4:$A$53,0)),"Mã chưa có trong MA DVVC"))</f>
        <v/>
      </c>
      <c r="G217" s="12" t="str">
        <f aca="false">IF(B217="","",COUNTIF('BANG CAN'!$F$8:$F$1007,B217))</f>
        <v/>
      </c>
      <c r="H217" s="4"/>
    </row>
    <row r="218" customFormat="false" ht="15" hidden="false" customHeight="false" outlineLevel="0" collapsed="false">
      <c r="A218" s="12" t="str">
        <f aca="false">IF(B218="","",COUNTA($B$6:B218))</f>
        <v/>
      </c>
      <c r="B218" s="15"/>
      <c r="C218" s="4"/>
      <c r="D218" s="23"/>
      <c r="E218" s="15"/>
      <c r="F218" s="24" t="str">
        <f aca="false">IF(E218="","",IFERROR(INDEX('MA DVVC'!$B$4:$B$53,MATCH(E218,'MA DVVC'!$A$4:$A$53,0)),"Mã chưa có trong MA DVVC"))</f>
        <v/>
      </c>
      <c r="G218" s="12" t="str">
        <f aca="false">IF(B218="","",COUNTIF('BANG CAN'!$F$8:$F$1007,B218))</f>
        <v/>
      </c>
      <c r="H218" s="4"/>
    </row>
    <row r="219" customFormat="false" ht="15" hidden="false" customHeight="false" outlineLevel="0" collapsed="false">
      <c r="A219" s="12" t="str">
        <f aca="false">IF(B219="","",COUNTA($B$6:B219))</f>
        <v/>
      </c>
      <c r="B219" s="15"/>
      <c r="C219" s="4"/>
      <c r="D219" s="23"/>
      <c r="E219" s="15"/>
      <c r="F219" s="24" t="str">
        <f aca="false">IF(E219="","",IFERROR(INDEX('MA DVVC'!$B$4:$B$53,MATCH(E219,'MA DVVC'!$A$4:$A$53,0)),"Mã chưa có trong MA DVVC"))</f>
        <v/>
      </c>
      <c r="G219" s="12" t="str">
        <f aca="false">IF(B219="","",COUNTIF('BANG CAN'!$F$8:$F$1007,B219))</f>
        <v/>
      </c>
      <c r="H219" s="4"/>
    </row>
    <row r="220" customFormat="false" ht="15" hidden="false" customHeight="false" outlineLevel="0" collapsed="false">
      <c r="A220" s="12" t="str">
        <f aca="false">IF(B220="","",COUNTA($B$6:B220))</f>
        <v/>
      </c>
      <c r="B220" s="15"/>
      <c r="C220" s="4"/>
      <c r="D220" s="23"/>
      <c r="E220" s="15"/>
      <c r="F220" s="24" t="str">
        <f aca="false">IF(E220="","",IFERROR(INDEX('MA DVVC'!$B$4:$B$53,MATCH(E220,'MA DVVC'!$A$4:$A$53,0)),"Mã chưa có trong MA DVVC"))</f>
        <v/>
      </c>
      <c r="G220" s="12" t="str">
        <f aca="false">IF(B220="","",COUNTIF('BANG CAN'!$F$8:$F$1007,B220))</f>
        <v/>
      </c>
      <c r="H220" s="4"/>
    </row>
    <row r="221" customFormat="false" ht="15" hidden="false" customHeight="false" outlineLevel="0" collapsed="false">
      <c r="A221" s="12" t="str">
        <f aca="false">IF(B221="","",COUNTA($B$6:B221))</f>
        <v/>
      </c>
      <c r="B221" s="15"/>
      <c r="C221" s="4"/>
      <c r="D221" s="23"/>
      <c r="E221" s="15"/>
      <c r="F221" s="24" t="str">
        <f aca="false">IF(E221="","",IFERROR(INDEX('MA DVVC'!$B$4:$B$53,MATCH(E221,'MA DVVC'!$A$4:$A$53,0)),"Mã chưa có trong MA DVVC"))</f>
        <v/>
      </c>
      <c r="G221" s="12" t="str">
        <f aca="false">IF(B221="","",COUNTIF('BANG CAN'!$F$8:$F$1007,B221))</f>
        <v/>
      </c>
      <c r="H221" s="4"/>
    </row>
    <row r="222" customFormat="false" ht="15" hidden="false" customHeight="false" outlineLevel="0" collapsed="false">
      <c r="A222" s="12" t="str">
        <f aca="false">IF(B222="","",COUNTA($B$6:B222))</f>
        <v/>
      </c>
      <c r="B222" s="15"/>
      <c r="C222" s="4"/>
      <c r="D222" s="23"/>
      <c r="E222" s="15"/>
      <c r="F222" s="24" t="str">
        <f aca="false">IF(E222="","",IFERROR(INDEX('MA DVVC'!$B$4:$B$53,MATCH(E222,'MA DVVC'!$A$4:$A$53,0)),"Mã chưa có trong MA DVVC"))</f>
        <v/>
      </c>
      <c r="G222" s="12" t="str">
        <f aca="false">IF(B222="","",COUNTIF('BANG CAN'!$F$8:$F$1007,B222))</f>
        <v/>
      </c>
      <c r="H222" s="4"/>
    </row>
    <row r="223" customFormat="false" ht="15" hidden="false" customHeight="false" outlineLevel="0" collapsed="false">
      <c r="A223" s="12" t="str">
        <f aca="false">IF(B223="","",COUNTA($B$6:B223))</f>
        <v/>
      </c>
      <c r="B223" s="15"/>
      <c r="C223" s="4"/>
      <c r="D223" s="23"/>
      <c r="E223" s="15"/>
      <c r="F223" s="24" t="str">
        <f aca="false">IF(E223="","",IFERROR(INDEX('MA DVVC'!$B$4:$B$53,MATCH(E223,'MA DVVC'!$A$4:$A$53,0)),"Mã chưa có trong MA DVVC"))</f>
        <v/>
      </c>
      <c r="G223" s="12" t="str">
        <f aca="false">IF(B223="","",COUNTIF('BANG CAN'!$F$8:$F$1007,B223))</f>
        <v/>
      </c>
      <c r="H223" s="4"/>
    </row>
    <row r="224" customFormat="false" ht="15" hidden="false" customHeight="false" outlineLevel="0" collapsed="false">
      <c r="A224" s="12" t="str">
        <f aca="false">IF(B224="","",COUNTA($B$6:B224))</f>
        <v/>
      </c>
      <c r="B224" s="15"/>
      <c r="C224" s="4"/>
      <c r="D224" s="23"/>
      <c r="E224" s="15"/>
      <c r="F224" s="24" t="str">
        <f aca="false">IF(E224="","",IFERROR(INDEX('MA DVVC'!$B$4:$B$53,MATCH(E224,'MA DVVC'!$A$4:$A$53,0)),"Mã chưa có trong MA DVVC"))</f>
        <v/>
      </c>
      <c r="G224" s="12" t="str">
        <f aca="false">IF(B224="","",COUNTIF('BANG CAN'!$F$8:$F$1007,B224))</f>
        <v/>
      </c>
      <c r="H224" s="4"/>
    </row>
    <row r="225" customFormat="false" ht="15" hidden="false" customHeight="false" outlineLevel="0" collapsed="false">
      <c r="A225" s="12" t="str">
        <f aca="false">IF(B225="","",COUNTA($B$6:B225))</f>
        <v/>
      </c>
      <c r="B225" s="15"/>
      <c r="C225" s="4"/>
      <c r="D225" s="23"/>
      <c r="E225" s="15"/>
      <c r="F225" s="24" t="str">
        <f aca="false">IF(E225="","",IFERROR(INDEX('MA DVVC'!$B$4:$B$53,MATCH(E225,'MA DVVC'!$A$4:$A$53,0)),"Mã chưa có trong MA DVVC"))</f>
        <v/>
      </c>
      <c r="G225" s="12" t="str">
        <f aca="false">IF(B225="","",COUNTIF('BANG CAN'!$F$8:$F$1007,B225))</f>
        <v/>
      </c>
      <c r="H225" s="4"/>
    </row>
    <row r="226" customFormat="false" ht="15" hidden="false" customHeight="false" outlineLevel="0" collapsed="false">
      <c r="A226" s="12" t="str">
        <f aca="false">IF(B226="","",COUNTA($B$6:B226))</f>
        <v/>
      </c>
      <c r="B226" s="15"/>
      <c r="C226" s="4"/>
      <c r="D226" s="23"/>
      <c r="E226" s="15"/>
      <c r="F226" s="24" t="str">
        <f aca="false">IF(E226="","",IFERROR(INDEX('MA DVVC'!$B$4:$B$53,MATCH(E226,'MA DVVC'!$A$4:$A$53,0)),"Mã chưa có trong MA DVVC"))</f>
        <v/>
      </c>
      <c r="G226" s="12" t="str">
        <f aca="false">IF(B226="","",COUNTIF('BANG CAN'!$F$8:$F$1007,B226))</f>
        <v/>
      </c>
      <c r="H226" s="4"/>
    </row>
    <row r="227" customFormat="false" ht="15" hidden="false" customHeight="false" outlineLevel="0" collapsed="false">
      <c r="A227" s="12" t="str">
        <f aca="false">IF(B227="","",COUNTA($B$6:B227))</f>
        <v/>
      </c>
      <c r="B227" s="15"/>
      <c r="C227" s="4"/>
      <c r="D227" s="23"/>
      <c r="E227" s="15"/>
      <c r="F227" s="24" t="str">
        <f aca="false">IF(E227="","",IFERROR(INDEX('MA DVVC'!$B$4:$B$53,MATCH(E227,'MA DVVC'!$A$4:$A$53,0)),"Mã chưa có trong MA DVVC"))</f>
        <v/>
      </c>
      <c r="G227" s="12" t="str">
        <f aca="false">IF(B227="","",COUNTIF('BANG CAN'!$F$8:$F$1007,B227))</f>
        <v/>
      </c>
      <c r="H227" s="4"/>
    </row>
    <row r="228" customFormat="false" ht="15" hidden="false" customHeight="false" outlineLevel="0" collapsed="false">
      <c r="A228" s="12" t="str">
        <f aca="false">IF(B228="","",COUNTA($B$6:B228))</f>
        <v/>
      </c>
      <c r="B228" s="15"/>
      <c r="C228" s="4"/>
      <c r="D228" s="23"/>
      <c r="E228" s="15"/>
      <c r="F228" s="24" t="str">
        <f aca="false">IF(E228="","",IFERROR(INDEX('MA DVVC'!$B$4:$B$53,MATCH(E228,'MA DVVC'!$A$4:$A$53,0)),"Mã chưa có trong MA DVVC"))</f>
        <v/>
      </c>
      <c r="G228" s="12" t="str">
        <f aca="false">IF(B228="","",COUNTIF('BANG CAN'!$F$8:$F$1007,B228))</f>
        <v/>
      </c>
      <c r="H228" s="4"/>
    </row>
    <row r="229" customFormat="false" ht="15" hidden="false" customHeight="false" outlineLevel="0" collapsed="false">
      <c r="A229" s="12" t="str">
        <f aca="false">IF(B229="","",COUNTA($B$6:B229))</f>
        <v/>
      </c>
      <c r="B229" s="15"/>
      <c r="C229" s="4"/>
      <c r="D229" s="23"/>
      <c r="E229" s="15"/>
      <c r="F229" s="24" t="str">
        <f aca="false">IF(E229="","",IFERROR(INDEX('MA DVVC'!$B$4:$B$53,MATCH(E229,'MA DVVC'!$A$4:$A$53,0)),"Mã chưa có trong MA DVVC"))</f>
        <v/>
      </c>
      <c r="G229" s="12" t="str">
        <f aca="false">IF(B229="","",COUNTIF('BANG CAN'!$F$8:$F$1007,B229))</f>
        <v/>
      </c>
      <c r="H229" s="4"/>
    </row>
    <row r="230" customFormat="false" ht="15" hidden="false" customHeight="false" outlineLevel="0" collapsed="false">
      <c r="A230" s="12" t="str">
        <f aca="false">IF(B230="","",COUNTA($B$6:B230))</f>
        <v/>
      </c>
      <c r="B230" s="15"/>
      <c r="C230" s="4"/>
      <c r="D230" s="23"/>
      <c r="E230" s="15"/>
      <c r="F230" s="24" t="str">
        <f aca="false">IF(E230="","",IFERROR(INDEX('MA DVVC'!$B$4:$B$53,MATCH(E230,'MA DVVC'!$A$4:$A$53,0)),"Mã chưa có trong MA DVVC"))</f>
        <v/>
      </c>
      <c r="G230" s="12" t="str">
        <f aca="false">IF(B230="","",COUNTIF('BANG CAN'!$F$8:$F$1007,B230))</f>
        <v/>
      </c>
      <c r="H230" s="4"/>
    </row>
    <row r="231" customFormat="false" ht="15" hidden="false" customHeight="false" outlineLevel="0" collapsed="false">
      <c r="A231" s="12" t="str">
        <f aca="false">IF(B231="","",COUNTA($B$6:B231))</f>
        <v/>
      </c>
      <c r="B231" s="15"/>
      <c r="C231" s="4"/>
      <c r="D231" s="23"/>
      <c r="E231" s="15"/>
      <c r="F231" s="24" t="str">
        <f aca="false">IF(E231="","",IFERROR(INDEX('MA DVVC'!$B$4:$B$53,MATCH(E231,'MA DVVC'!$A$4:$A$53,0)),"Mã chưa có trong MA DVVC"))</f>
        <v/>
      </c>
      <c r="G231" s="12" t="str">
        <f aca="false">IF(B231="","",COUNTIF('BANG CAN'!$F$8:$F$1007,B231))</f>
        <v/>
      </c>
      <c r="H231" s="4"/>
    </row>
    <row r="232" customFormat="false" ht="15" hidden="false" customHeight="false" outlineLevel="0" collapsed="false">
      <c r="A232" s="12" t="str">
        <f aca="false">IF(B232="","",COUNTA($B$6:B232))</f>
        <v/>
      </c>
      <c r="B232" s="15"/>
      <c r="C232" s="4"/>
      <c r="D232" s="23"/>
      <c r="E232" s="15"/>
      <c r="F232" s="24" t="str">
        <f aca="false">IF(E232="","",IFERROR(INDEX('MA DVVC'!$B$4:$B$53,MATCH(E232,'MA DVVC'!$A$4:$A$53,0)),"Mã chưa có trong MA DVVC"))</f>
        <v/>
      </c>
      <c r="G232" s="12" t="str">
        <f aca="false">IF(B232="","",COUNTIF('BANG CAN'!$F$8:$F$1007,B232))</f>
        <v/>
      </c>
      <c r="H232" s="4"/>
    </row>
    <row r="233" customFormat="false" ht="15" hidden="false" customHeight="false" outlineLevel="0" collapsed="false">
      <c r="A233" s="12" t="str">
        <f aca="false">IF(B233="","",COUNTA($B$6:B233))</f>
        <v/>
      </c>
      <c r="B233" s="15"/>
      <c r="C233" s="4"/>
      <c r="D233" s="23"/>
      <c r="E233" s="15"/>
      <c r="F233" s="24" t="str">
        <f aca="false">IF(E233="","",IFERROR(INDEX('MA DVVC'!$B$4:$B$53,MATCH(E233,'MA DVVC'!$A$4:$A$53,0)),"Mã chưa có trong MA DVVC"))</f>
        <v/>
      </c>
      <c r="G233" s="12" t="str">
        <f aca="false">IF(B233="","",COUNTIF('BANG CAN'!$F$8:$F$1007,B233))</f>
        <v/>
      </c>
      <c r="H233" s="4"/>
    </row>
    <row r="234" customFormat="false" ht="15" hidden="false" customHeight="false" outlineLevel="0" collapsed="false">
      <c r="A234" s="12" t="str">
        <f aca="false">IF(B234="","",COUNTA($B$6:B234))</f>
        <v/>
      </c>
      <c r="B234" s="15"/>
      <c r="C234" s="4"/>
      <c r="D234" s="23"/>
      <c r="E234" s="15"/>
      <c r="F234" s="24" t="str">
        <f aca="false">IF(E234="","",IFERROR(INDEX('MA DVVC'!$B$4:$B$53,MATCH(E234,'MA DVVC'!$A$4:$A$53,0)),"Mã chưa có trong MA DVVC"))</f>
        <v/>
      </c>
      <c r="G234" s="12" t="str">
        <f aca="false">IF(B234="","",COUNTIF('BANG CAN'!$F$8:$F$1007,B234))</f>
        <v/>
      </c>
      <c r="H234" s="4"/>
    </row>
    <row r="235" customFormat="false" ht="15" hidden="false" customHeight="false" outlineLevel="0" collapsed="false">
      <c r="A235" s="12" t="str">
        <f aca="false">IF(B235="","",COUNTA($B$6:B235))</f>
        <v/>
      </c>
      <c r="B235" s="15"/>
      <c r="C235" s="4"/>
      <c r="D235" s="23"/>
      <c r="E235" s="15"/>
      <c r="F235" s="24" t="str">
        <f aca="false">IF(E235="","",IFERROR(INDEX('MA DVVC'!$B$4:$B$53,MATCH(E235,'MA DVVC'!$A$4:$A$53,0)),"Mã chưa có trong MA DVVC"))</f>
        <v/>
      </c>
      <c r="G235" s="12" t="str">
        <f aca="false">IF(B235="","",COUNTIF('BANG CAN'!$F$8:$F$1007,B235))</f>
        <v/>
      </c>
      <c r="H235" s="4"/>
    </row>
    <row r="236" customFormat="false" ht="15" hidden="false" customHeight="false" outlineLevel="0" collapsed="false">
      <c r="A236" s="12" t="str">
        <f aca="false">IF(B236="","",COUNTA($B$6:B236))</f>
        <v/>
      </c>
      <c r="B236" s="15"/>
      <c r="C236" s="4"/>
      <c r="D236" s="23"/>
      <c r="E236" s="15"/>
      <c r="F236" s="24" t="str">
        <f aca="false">IF(E236="","",IFERROR(INDEX('MA DVVC'!$B$4:$B$53,MATCH(E236,'MA DVVC'!$A$4:$A$53,0)),"Mã chưa có trong MA DVVC"))</f>
        <v/>
      </c>
      <c r="G236" s="12" t="str">
        <f aca="false">IF(B236="","",COUNTIF('BANG CAN'!$F$8:$F$1007,B236))</f>
        <v/>
      </c>
      <c r="H236" s="4"/>
    </row>
    <row r="237" customFormat="false" ht="15" hidden="false" customHeight="false" outlineLevel="0" collapsed="false">
      <c r="A237" s="12" t="str">
        <f aca="false">IF(B237="","",COUNTA($B$6:B237))</f>
        <v/>
      </c>
      <c r="B237" s="15"/>
      <c r="C237" s="4"/>
      <c r="D237" s="23"/>
      <c r="E237" s="15"/>
      <c r="F237" s="24" t="str">
        <f aca="false">IF(E237="","",IFERROR(INDEX('MA DVVC'!$B$4:$B$53,MATCH(E237,'MA DVVC'!$A$4:$A$53,0)),"Mã chưa có trong MA DVVC"))</f>
        <v/>
      </c>
      <c r="G237" s="12" t="str">
        <f aca="false">IF(B237="","",COUNTIF('BANG CAN'!$F$8:$F$1007,B237))</f>
        <v/>
      </c>
      <c r="H237" s="4"/>
    </row>
    <row r="238" customFormat="false" ht="15" hidden="false" customHeight="false" outlineLevel="0" collapsed="false">
      <c r="A238" s="12" t="str">
        <f aca="false">IF(B238="","",COUNTA($B$6:B238))</f>
        <v/>
      </c>
      <c r="B238" s="15"/>
      <c r="C238" s="4"/>
      <c r="D238" s="23"/>
      <c r="E238" s="15"/>
      <c r="F238" s="24" t="str">
        <f aca="false">IF(E238="","",IFERROR(INDEX('MA DVVC'!$B$4:$B$53,MATCH(E238,'MA DVVC'!$A$4:$A$53,0)),"Mã chưa có trong MA DVVC"))</f>
        <v/>
      </c>
      <c r="G238" s="12" t="str">
        <f aca="false">IF(B238="","",COUNTIF('BANG CAN'!$F$8:$F$1007,B238))</f>
        <v/>
      </c>
      <c r="H238" s="4"/>
    </row>
    <row r="239" customFormat="false" ht="15" hidden="false" customHeight="false" outlineLevel="0" collapsed="false">
      <c r="A239" s="12" t="str">
        <f aca="false">IF(B239="","",COUNTA($B$6:B239))</f>
        <v/>
      </c>
      <c r="B239" s="15"/>
      <c r="C239" s="4"/>
      <c r="D239" s="23"/>
      <c r="E239" s="15"/>
      <c r="F239" s="24" t="str">
        <f aca="false">IF(E239="","",IFERROR(INDEX('MA DVVC'!$B$4:$B$53,MATCH(E239,'MA DVVC'!$A$4:$A$53,0)),"Mã chưa có trong MA DVVC"))</f>
        <v/>
      </c>
      <c r="G239" s="12" t="str">
        <f aca="false">IF(B239="","",COUNTIF('BANG CAN'!$F$8:$F$1007,B239))</f>
        <v/>
      </c>
      <c r="H239" s="4"/>
    </row>
    <row r="240" customFormat="false" ht="15" hidden="false" customHeight="false" outlineLevel="0" collapsed="false">
      <c r="A240" s="12" t="str">
        <f aca="false">IF(B240="","",COUNTA($B$6:B240))</f>
        <v/>
      </c>
      <c r="B240" s="15"/>
      <c r="C240" s="4"/>
      <c r="D240" s="23"/>
      <c r="E240" s="15"/>
      <c r="F240" s="24" t="str">
        <f aca="false">IF(E240="","",IFERROR(INDEX('MA DVVC'!$B$4:$B$53,MATCH(E240,'MA DVVC'!$A$4:$A$53,0)),"Mã chưa có trong MA DVVC"))</f>
        <v/>
      </c>
      <c r="G240" s="12" t="str">
        <f aca="false">IF(B240="","",COUNTIF('BANG CAN'!$F$8:$F$1007,B240))</f>
        <v/>
      </c>
      <c r="H240" s="4"/>
    </row>
    <row r="241" customFormat="false" ht="15" hidden="false" customHeight="false" outlineLevel="0" collapsed="false">
      <c r="A241" s="12" t="str">
        <f aca="false">IF(B241="","",COUNTA($B$6:B241))</f>
        <v/>
      </c>
      <c r="B241" s="15"/>
      <c r="C241" s="4"/>
      <c r="D241" s="23"/>
      <c r="E241" s="15"/>
      <c r="F241" s="24" t="str">
        <f aca="false">IF(E241="","",IFERROR(INDEX('MA DVVC'!$B$4:$B$53,MATCH(E241,'MA DVVC'!$A$4:$A$53,0)),"Mã chưa có trong MA DVVC"))</f>
        <v/>
      </c>
      <c r="G241" s="12" t="str">
        <f aca="false">IF(B241="","",COUNTIF('BANG CAN'!$F$8:$F$1007,B241))</f>
        <v/>
      </c>
      <c r="H241" s="4"/>
    </row>
    <row r="242" customFormat="false" ht="15" hidden="false" customHeight="false" outlineLevel="0" collapsed="false">
      <c r="A242" s="12" t="str">
        <f aca="false">IF(B242="","",COUNTA($B$6:B242))</f>
        <v/>
      </c>
      <c r="B242" s="15"/>
      <c r="C242" s="4"/>
      <c r="D242" s="23"/>
      <c r="E242" s="15"/>
      <c r="F242" s="24" t="str">
        <f aca="false">IF(E242="","",IFERROR(INDEX('MA DVVC'!$B$4:$B$53,MATCH(E242,'MA DVVC'!$A$4:$A$53,0)),"Mã chưa có trong MA DVVC"))</f>
        <v/>
      </c>
      <c r="G242" s="12" t="str">
        <f aca="false">IF(B242="","",COUNTIF('BANG CAN'!$F$8:$F$1007,B242))</f>
        <v/>
      </c>
      <c r="H242" s="4"/>
    </row>
    <row r="243" customFormat="false" ht="15" hidden="false" customHeight="false" outlineLevel="0" collapsed="false">
      <c r="A243" s="12" t="str">
        <f aca="false">IF(B243="","",COUNTA($B$6:B243))</f>
        <v/>
      </c>
      <c r="B243" s="15"/>
      <c r="C243" s="4"/>
      <c r="D243" s="23"/>
      <c r="E243" s="15"/>
      <c r="F243" s="24" t="str">
        <f aca="false">IF(E243="","",IFERROR(INDEX('MA DVVC'!$B$4:$B$53,MATCH(E243,'MA DVVC'!$A$4:$A$53,0)),"Mã chưa có trong MA DVVC"))</f>
        <v/>
      </c>
      <c r="G243" s="12" t="str">
        <f aca="false">IF(B243="","",COUNTIF('BANG CAN'!$F$8:$F$1007,B243))</f>
        <v/>
      </c>
      <c r="H243" s="4"/>
    </row>
    <row r="244" customFormat="false" ht="15" hidden="false" customHeight="false" outlineLevel="0" collapsed="false">
      <c r="A244" s="12" t="str">
        <f aca="false">IF(B244="","",COUNTA($B$6:B244))</f>
        <v/>
      </c>
      <c r="B244" s="15"/>
      <c r="C244" s="4"/>
      <c r="D244" s="23"/>
      <c r="E244" s="15"/>
      <c r="F244" s="24" t="str">
        <f aca="false">IF(E244="","",IFERROR(INDEX('MA DVVC'!$B$4:$B$53,MATCH(E244,'MA DVVC'!$A$4:$A$53,0)),"Mã chưa có trong MA DVVC"))</f>
        <v/>
      </c>
      <c r="G244" s="12" t="str">
        <f aca="false">IF(B244="","",COUNTIF('BANG CAN'!$F$8:$F$1007,B244))</f>
        <v/>
      </c>
      <c r="H244" s="4"/>
    </row>
    <row r="245" customFormat="false" ht="15" hidden="false" customHeight="false" outlineLevel="0" collapsed="false">
      <c r="A245" s="12" t="str">
        <f aca="false">IF(B245="","",COUNTA($B$6:B245))</f>
        <v/>
      </c>
      <c r="B245" s="15"/>
      <c r="C245" s="4"/>
      <c r="D245" s="23"/>
      <c r="E245" s="15"/>
      <c r="F245" s="24" t="str">
        <f aca="false">IF(E245="","",IFERROR(INDEX('MA DVVC'!$B$4:$B$53,MATCH(E245,'MA DVVC'!$A$4:$A$53,0)),"Mã chưa có trong MA DVVC"))</f>
        <v/>
      </c>
      <c r="G245" s="12" t="str">
        <f aca="false">IF(B245="","",COUNTIF('BANG CAN'!$F$8:$F$1007,B245))</f>
        <v/>
      </c>
      <c r="H245" s="4"/>
    </row>
    <row r="246" customFormat="false" ht="15" hidden="false" customHeight="false" outlineLevel="0" collapsed="false">
      <c r="A246" s="12" t="str">
        <f aca="false">IF(B246="","",COUNTA($B$6:B246))</f>
        <v/>
      </c>
      <c r="B246" s="15"/>
      <c r="C246" s="4"/>
      <c r="D246" s="23"/>
      <c r="E246" s="15"/>
      <c r="F246" s="24" t="str">
        <f aca="false">IF(E246="","",IFERROR(INDEX('MA DVVC'!$B$4:$B$53,MATCH(E246,'MA DVVC'!$A$4:$A$53,0)),"Mã chưa có trong MA DVVC"))</f>
        <v/>
      </c>
      <c r="G246" s="12" t="str">
        <f aca="false">IF(B246="","",COUNTIF('BANG CAN'!$F$8:$F$1007,B246))</f>
        <v/>
      </c>
      <c r="H246" s="4"/>
    </row>
    <row r="247" customFormat="false" ht="15" hidden="false" customHeight="false" outlineLevel="0" collapsed="false">
      <c r="A247" s="12" t="str">
        <f aca="false">IF(B247="","",COUNTA($B$6:B247))</f>
        <v/>
      </c>
      <c r="B247" s="15"/>
      <c r="C247" s="4"/>
      <c r="D247" s="23"/>
      <c r="E247" s="15"/>
      <c r="F247" s="24" t="str">
        <f aca="false">IF(E247="","",IFERROR(INDEX('MA DVVC'!$B$4:$B$53,MATCH(E247,'MA DVVC'!$A$4:$A$53,0)),"Mã chưa có trong MA DVVC"))</f>
        <v/>
      </c>
      <c r="G247" s="12" t="str">
        <f aca="false">IF(B247="","",COUNTIF('BANG CAN'!$F$8:$F$1007,B247))</f>
        <v/>
      </c>
      <c r="H247" s="4"/>
    </row>
    <row r="248" customFormat="false" ht="15" hidden="false" customHeight="false" outlineLevel="0" collapsed="false">
      <c r="A248" s="12" t="str">
        <f aca="false">IF(B248="","",COUNTA($B$6:B248))</f>
        <v/>
      </c>
      <c r="B248" s="15"/>
      <c r="C248" s="4"/>
      <c r="D248" s="23"/>
      <c r="E248" s="15"/>
      <c r="F248" s="24" t="str">
        <f aca="false">IF(E248="","",IFERROR(INDEX('MA DVVC'!$B$4:$B$53,MATCH(E248,'MA DVVC'!$A$4:$A$53,0)),"Mã chưa có trong MA DVVC"))</f>
        <v/>
      </c>
      <c r="G248" s="12" t="str">
        <f aca="false">IF(B248="","",COUNTIF('BANG CAN'!$F$8:$F$1007,B248))</f>
        <v/>
      </c>
      <c r="H248" s="4"/>
    </row>
    <row r="249" customFormat="false" ht="15" hidden="false" customHeight="false" outlineLevel="0" collapsed="false">
      <c r="A249" s="12" t="str">
        <f aca="false">IF(B249="","",COUNTA($B$6:B249))</f>
        <v/>
      </c>
      <c r="B249" s="15"/>
      <c r="C249" s="4"/>
      <c r="D249" s="23"/>
      <c r="E249" s="15"/>
      <c r="F249" s="24" t="str">
        <f aca="false">IF(E249="","",IFERROR(INDEX('MA DVVC'!$B$4:$B$53,MATCH(E249,'MA DVVC'!$A$4:$A$53,0)),"Mã chưa có trong MA DVVC"))</f>
        <v/>
      </c>
      <c r="G249" s="12" t="str">
        <f aca="false">IF(B249="","",COUNTIF('BANG CAN'!$F$8:$F$1007,B249))</f>
        <v/>
      </c>
      <c r="H249" s="4"/>
    </row>
    <row r="250" customFormat="false" ht="15" hidden="false" customHeight="false" outlineLevel="0" collapsed="false">
      <c r="A250" s="12" t="str">
        <f aca="false">IF(B250="","",COUNTA($B$6:B250))</f>
        <v/>
      </c>
      <c r="B250" s="15"/>
      <c r="C250" s="4"/>
      <c r="D250" s="23"/>
      <c r="E250" s="15"/>
      <c r="F250" s="24" t="str">
        <f aca="false">IF(E250="","",IFERROR(INDEX('MA DVVC'!$B$4:$B$53,MATCH(E250,'MA DVVC'!$A$4:$A$53,0)),"Mã chưa có trong MA DVVC"))</f>
        <v/>
      </c>
      <c r="G250" s="12" t="str">
        <f aca="false">IF(B250="","",COUNTIF('BANG CAN'!$F$8:$F$1007,B250))</f>
        <v/>
      </c>
      <c r="H250" s="4"/>
    </row>
    <row r="251" customFormat="false" ht="15" hidden="false" customHeight="false" outlineLevel="0" collapsed="false">
      <c r="A251" s="12" t="str">
        <f aca="false">IF(B251="","",COUNTA($B$6:B251))</f>
        <v/>
      </c>
      <c r="B251" s="15"/>
      <c r="C251" s="4"/>
      <c r="D251" s="23"/>
      <c r="E251" s="15"/>
      <c r="F251" s="24" t="str">
        <f aca="false">IF(E251="","",IFERROR(INDEX('MA DVVC'!$B$4:$B$53,MATCH(E251,'MA DVVC'!$A$4:$A$53,0)),"Mã chưa có trong MA DVVC"))</f>
        <v/>
      </c>
      <c r="G251" s="12" t="str">
        <f aca="false">IF(B251="","",COUNTIF('BANG CAN'!$F$8:$F$1007,B251))</f>
        <v/>
      </c>
      <c r="H251" s="4"/>
    </row>
    <row r="252" customFormat="false" ht="15" hidden="false" customHeight="false" outlineLevel="0" collapsed="false">
      <c r="A252" s="12" t="str">
        <f aca="false">IF(B252="","",COUNTA($B$6:B252))</f>
        <v/>
      </c>
      <c r="B252" s="15"/>
      <c r="C252" s="4"/>
      <c r="D252" s="23"/>
      <c r="E252" s="15"/>
      <c r="F252" s="24" t="str">
        <f aca="false">IF(E252="","",IFERROR(INDEX('MA DVVC'!$B$4:$B$53,MATCH(E252,'MA DVVC'!$A$4:$A$53,0)),"Mã chưa có trong MA DVVC"))</f>
        <v/>
      </c>
      <c r="G252" s="12" t="str">
        <f aca="false">IF(B252="","",COUNTIF('BANG CAN'!$F$8:$F$1007,B252))</f>
        <v/>
      </c>
      <c r="H252" s="4"/>
    </row>
    <row r="253" customFormat="false" ht="15" hidden="false" customHeight="false" outlineLevel="0" collapsed="false">
      <c r="A253" s="12" t="str">
        <f aca="false">IF(B253="","",COUNTA($B$6:B253))</f>
        <v/>
      </c>
      <c r="B253" s="15"/>
      <c r="C253" s="4"/>
      <c r="D253" s="23"/>
      <c r="E253" s="15"/>
      <c r="F253" s="24" t="str">
        <f aca="false">IF(E253="","",IFERROR(INDEX('MA DVVC'!$B$4:$B$53,MATCH(E253,'MA DVVC'!$A$4:$A$53,0)),"Mã chưa có trong MA DVVC"))</f>
        <v/>
      </c>
      <c r="G253" s="12" t="str">
        <f aca="false">IF(B253="","",COUNTIF('BANG CAN'!$F$8:$F$1007,B253))</f>
        <v/>
      </c>
      <c r="H253" s="4"/>
    </row>
    <row r="254" customFormat="false" ht="15" hidden="false" customHeight="false" outlineLevel="0" collapsed="false">
      <c r="A254" s="12" t="str">
        <f aca="false">IF(B254="","",COUNTA($B$6:B254))</f>
        <v/>
      </c>
      <c r="B254" s="15"/>
      <c r="C254" s="4"/>
      <c r="D254" s="23"/>
      <c r="E254" s="15"/>
      <c r="F254" s="24" t="str">
        <f aca="false">IF(E254="","",IFERROR(INDEX('MA DVVC'!$B$4:$B$53,MATCH(E254,'MA DVVC'!$A$4:$A$53,0)),"Mã chưa có trong MA DVVC"))</f>
        <v/>
      </c>
      <c r="G254" s="12" t="str">
        <f aca="false">IF(B254="","",COUNTIF('BANG CAN'!$F$8:$F$1007,B254))</f>
        <v/>
      </c>
      <c r="H254" s="4"/>
    </row>
    <row r="255" customFormat="false" ht="15" hidden="false" customHeight="false" outlineLevel="0" collapsed="false">
      <c r="A255" s="12" t="str">
        <f aca="false">IF(B255="","",COUNTA($B$6:B255))</f>
        <v/>
      </c>
      <c r="B255" s="15"/>
      <c r="C255" s="4"/>
      <c r="D255" s="23"/>
      <c r="E255" s="15"/>
      <c r="F255" s="24" t="str">
        <f aca="false">IF(E255="","",IFERROR(INDEX('MA DVVC'!$B$4:$B$53,MATCH(E255,'MA DVVC'!$A$4:$A$53,0)),"Mã chưa có trong MA DVVC"))</f>
        <v/>
      </c>
      <c r="G255" s="12" t="str">
        <f aca="false">IF(B255="","",COUNTIF('BANG CAN'!$F$8:$F$1007,B255))</f>
        <v/>
      </c>
      <c r="H255" s="4"/>
    </row>
    <row r="256" customFormat="false" ht="15" hidden="false" customHeight="false" outlineLevel="0" collapsed="false">
      <c r="A256" s="12" t="str">
        <f aca="false">IF(B256="","",COUNTA($B$6:B256))</f>
        <v/>
      </c>
      <c r="B256" s="15"/>
      <c r="C256" s="4"/>
      <c r="D256" s="23"/>
      <c r="E256" s="15"/>
      <c r="F256" s="24" t="str">
        <f aca="false">IF(E256="","",IFERROR(INDEX('MA DVVC'!$B$4:$B$53,MATCH(E256,'MA DVVC'!$A$4:$A$53,0)),"Mã chưa có trong MA DVVC"))</f>
        <v/>
      </c>
      <c r="G256" s="12" t="str">
        <f aca="false">IF(B256="","",COUNTIF('BANG CAN'!$F$8:$F$1007,B256))</f>
        <v/>
      </c>
      <c r="H256" s="4"/>
    </row>
    <row r="257" customFormat="false" ht="15" hidden="false" customHeight="false" outlineLevel="0" collapsed="false">
      <c r="A257" s="12" t="str">
        <f aca="false">IF(B257="","",COUNTA($B$6:B257))</f>
        <v/>
      </c>
      <c r="B257" s="15"/>
      <c r="C257" s="4"/>
      <c r="D257" s="23"/>
      <c r="E257" s="15"/>
      <c r="F257" s="24" t="str">
        <f aca="false">IF(E257="","",IFERROR(INDEX('MA DVVC'!$B$4:$B$53,MATCH(E257,'MA DVVC'!$A$4:$A$53,0)),"Mã chưa có trong MA DVVC"))</f>
        <v/>
      </c>
      <c r="G257" s="12" t="str">
        <f aca="false">IF(B257="","",COUNTIF('BANG CAN'!$F$8:$F$1007,B257))</f>
        <v/>
      </c>
      <c r="H257" s="4"/>
    </row>
    <row r="258" customFormat="false" ht="15" hidden="false" customHeight="false" outlineLevel="0" collapsed="false">
      <c r="A258" s="12" t="str">
        <f aca="false">IF(B258="","",COUNTA($B$6:B258))</f>
        <v/>
      </c>
      <c r="B258" s="15"/>
      <c r="C258" s="4"/>
      <c r="D258" s="23"/>
      <c r="E258" s="15"/>
      <c r="F258" s="24" t="str">
        <f aca="false">IF(E258="","",IFERROR(INDEX('MA DVVC'!$B$4:$B$53,MATCH(E258,'MA DVVC'!$A$4:$A$53,0)),"Mã chưa có trong MA DVVC"))</f>
        <v/>
      </c>
      <c r="G258" s="12" t="str">
        <f aca="false">IF(B258="","",COUNTIF('BANG CAN'!$F$8:$F$1007,B258))</f>
        <v/>
      </c>
      <c r="H258" s="4"/>
    </row>
    <row r="259" customFormat="false" ht="15" hidden="false" customHeight="false" outlineLevel="0" collapsed="false">
      <c r="A259" s="12" t="str">
        <f aca="false">IF(B259="","",COUNTA($B$6:B259))</f>
        <v/>
      </c>
      <c r="B259" s="15"/>
      <c r="C259" s="4"/>
      <c r="D259" s="23"/>
      <c r="E259" s="15"/>
      <c r="F259" s="24" t="str">
        <f aca="false">IF(E259="","",IFERROR(INDEX('MA DVVC'!$B$4:$B$53,MATCH(E259,'MA DVVC'!$A$4:$A$53,0)),"Mã chưa có trong MA DVVC"))</f>
        <v/>
      </c>
      <c r="G259" s="12" t="str">
        <f aca="false">IF(B259="","",COUNTIF('BANG CAN'!$F$8:$F$1007,B259))</f>
        <v/>
      </c>
      <c r="H259" s="4"/>
    </row>
    <row r="260" customFormat="false" ht="15" hidden="false" customHeight="false" outlineLevel="0" collapsed="false">
      <c r="A260" s="12" t="str">
        <f aca="false">IF(B260="","",COUNTA($B$6:B260))</f>
        <v/>
      </c>
      <c r="B260" s="15"/>
      <c r="C260" s="4"/>
      <c r="D260" s="23"/>
      <c r="E260" s="15"/>
      <c r="F260" s="24" t="str">
        <f aca="false">IF(E260="","",IFERROR(INDEX('MA DVVC'!$B$4:$B$53,MATCH(E260,'MA DVVC'!$A$4:$A$53,0)),"Mã chưa có trong MA DVVC"))</f>
        <v/>
      </c>
      <c r="G260" s="12" t="str">
        <f aca="false">IF(B260="","",COUNTIF('BANG CAN'!$F$8:$F$1007,B260))</f>
        <v/>
      </c>
      <c r="H260" s="4"/>
    </row>
    <row r="261" customFormat="false" ht="15" hidden="false" customHeight="false" outlineLevel="0" collapsed="false">
      <c r="A261" s="12" t="str">
        <f aca="false">IF(B261="","",COUNTA($B$6:B261))</f>
        <v/>
      </c>
      <c r="B261" s="15"/>
      <c r="C261" s="4"/>
      <c r="D261" s="23"/>
      <c r="E261" s="15"/>
      <c r="F261" s="24" t="str">
        <f aca="false">IF(E261="","",IFERROR(INDEX('MA DVVC'!$B$4:$B$53,MATCH(E261,'MA DVVC'!$A$4:$A$53,0)),"Mã chưa có trong MA DVVC"))</f>
        <v/>
      </c>
      <c r="G261" s="12" t="str">
        <f aca="false">IF(B261="","",COUNTIF('BANG CAN'!$F$8:$F$1007,B261))</f>
        <v/>
      </c>
      <c r="H261" s="4"/>
    </row>
    <row r="262" customFormat="false" ht="15" hidden="false" customHeight="false" outlineLevel="0" collapsed="false">
      <c r="A262" s="12" t="str">
        <f aca="false">IF(B262="","",COUNTA($B$6:B262))</f>
        <v/>
      </c>
      <c r="B262" s="15"/>
      <c r="C262" s="4"/>
      <c r="D262" s="23"/>
      <c r="E262" s="15"/>
      <c r="F262" s="24" t="str">
        <f aca="false">IF(E262="","",IFERROR(INDEX('MA DVVC'!$B$4:$B$53,MATCH(E262,'MA DVVC'!$A$4:$A$53,0)),"Mã chưa có trong MA DVVC"))</f>
        <v/>
      </c>
      <c r="G262" s="12" t="str">
        <f aca="false">IF(B262="","",COUNTIF('BANG CAN'!$F$8:$F$1007,B262))</f>
        <v/>
      </c>
      <c r="H262" s="4"/>
    </row>
    <row r="263" customFormat="false" ht="15" hidden="false" customHeight="false" outlineLevel="0" collapsed="false">
      <c r="A263" s="12" t="str">
        <f aca="false">IF(B263="","",COUNTA($B$6:B263))</f>
        <v/>
      </c>
      <c r="B263" s="15"/>
      <c r="C263" s="4"/>
      <c r="D263" s="23"/>
      <c r="E263" s="15"/>
      <c r="F263" s="24" t="str">
        <f aca="false">IF(E263="","",IFERROR(INDEX('MA DVVC'!$B$4:$B$53,MATCH(E263,'MA DVVC'!$A$4:$A$53,0)),"Mã chưa có trong MA DVVC"))</f>
        <v/>
      </c>
      <c r="G263" s="12" t="str">
        <f aca="false">IF(B263="","",COUNTIF('BANG CAN'!$F$8:$F$1007,B263))</f>
        <v/>
      </c>
      <c r="H263" s="4"/>
    </row>
    <row r="264" customFormat="false" ht="15" hidden="false" customHeight="false" outlineLevel="0" collapsed="false">
      <c r="A264" s="12" t="str">
        <f aca="false">IF(B264="","",COUNTA($B$6:B264))</f>
        <v/>
      </c>
      <c r="B264" s="15"/>
      <c r="C264" s="4"/>
      <c r="D264" s="23"/>
      <c r="E264" s="15"/>
      <c r="F264" s="24" t="str">
        <f aca="false">IF(E264="","",IFERROR(INDEX('MA DVVC'!$B$4:$B$53,MATCH(E264,'MA DVVC'!$A$4:$A$53,0)),"Mã chưa có trong MA DVVC"))</f>
        <v/>
      </c>
      <c r="G264" s="12" t="str">
        <f aca="false">IF(B264="","",COUNTIF('BANG CAN'!$F$8:$F$1007,B264))</f>
        <v/>
      </c>
      <c r="H264" s="4"/>
    </row>
    <row r="265" customFormat="false" ht="15" hidden="false" customHeight="false" outlineLevel="0" collapsed="false">
      <c r="A265" s="12" t="str">
        <f aca="false">IF(B265="","",COUNTA($B$6:B265))</f>
        <v/>
      </c>
      <c r="B265" s="15"/>
      <c r="C265" s="4"/>
      <c r="D265" s="23"/>
      <c r="E265" s="15"/>
      <c r="F265" s="24" t="str">
        <f aca="false">IF(E265="","",IFERROR(INDEX('MA DVVC'!$B$4:$B$53,MATCH(E265,'MA DVVC'!$A$4:$A$53,0)),"Mã chưa có trong MA DVVC"))</f>
        <v/>
      </c>
      <c r="G265" s="12" t="str">
        <f aca="false">IF(B265="","",COUNTIF('BANG CAN'!$F$8:$F$1007,B265))</f>
        <v/>
      </c>
      <c r="H265" s="4"/>
    </row>
    <row r="266" customFormat="false" ht="15" hidden="false" customHeight="false" outlineLevel="0" collapsed="false">
      <c r="A266" s="12" t="str">
        <f aca="false">IF(B266="","",COUNTA($B$6:B266))</f>
        <v/>
      </c>
      <c r="B266" s="15"/>
      <c r="C266" s="4"/>
      <c r="D266" s="23"/>
      <c r="E266" s="15"/>
      <c r="F266" s="24" t="str">
        <f aca="false">IF(E266="","",IFERROR(INDEX('MA DVVC'!$B$4:$B$53,MATCH(E266,'MA DVVC'!$A$4:$A$53,0)),"Mã chưa có trong MA DVVC"))</f>
        <v/>
      </c>
      <c r="G266" s="12" t="str">
        <f aca="false">IF(B266="","",COUNTIF('BANG CAN'!$F$8:$F$1007,B266))</f>
        <v/>
      </c>
      <c r="H266" s="4"/>
    </row>
    <row r="267" customFormat="false" ht="15" hidden="false" customHeight="false" outlineLevel="0" collapsed="false">
      <c r="A267" s="12" t="str">
        <f aca="false">IF(B267="","",COUNTA($B$6:B267))</f>
        <v/>
      </c>
      <c r="B267" s="15"/>
      <c r="C267" s="4"/>
      <c r="D267" s="23"/>
      <c r="E267" s="15"/>
      <c r="F267" s="24" t="str">
        <f aca="false">IF(E267="","",IFERROR(INDEX('MA DVVC'!$B$4:$B$53,MATCH(E267,'MA DVVC'!$A$4:$A$53,0)),"Mã chưa có trong MA DVVC"))</f>
        <v/>
      </c>
      <c r="G267" s="12" t="str">
        <f aca="false">IF(B267="","",COUNTIF('BANG CAN'!$F$8:$F$1007,B267))</f>
        <v/>
      </c>
      <c r="H267" s="4"/>
    </row>
    <row r="268" customFormat="false" ht="15" hidden="false" customHeight="false" outlineLevel="0" collapsed="false">
      <c r="A268" s="12" t="str">
        <f aca="false">IF(B268="","",COUNTA($B$6:B268))</f>
        <v/>
      </c>
      <c r="B268" s="15"/>
      <c r="C268" s="4"/>
      <c r="D268" s="23"/>
      <c r="E268" s="15"/>
      <c r="F268" s="24" t="str">
        <f aca="false">IF(E268="","",IFERROR(INDEX('MA DVVC'!$B$4:$B$53,MATCH(E268,'MA DVVC'!$A$4:$A$53,0)),"Mã chưa có trong MA DVVC"))</f>
        <v/>
      </c>
      <c r="G268" s="12" t="str">
        <f aca="false">IF(B268="","",COUNTIF('BANG CAN'!$F$8:$F$1007,B268))</f>
        <v/>
      </c>
      <c r="H268" s="4"/>
    </row>
    <row r="269" customFormat="false" ht="15" hidden="false" customHeight="false" outlineLevel="0" collapsed="false">
      <c r="A269" s="12" t="str">
        <f aca="false">IF(B269="","",COUNTA($B$6:B269))</f>
        <v/>
      </c>
      <c r="B269" s="15"/>
      <c r="C269" s="4"/>
      <c r="D269" s="23"/>
      <c r="E269" s="15"/>
      <c r="F269" s="24" t="str">
        <f aca="false">IF(E269="","",IFERROR(INDEX('MA DVVC'!$B$4:$B$53,MATCH(E269,'MA DVVC'!$A$4:$A$53,0)),"Mã chưa có trong MA DVVC"))</f>
        <v/>
      </c>
      <c r="G269" s="12" t="str">
        <f aca="false">IF(B269="","",COUNTIF('BANG CAN'!$F$8:$F$1007,B269))</f>
        <v/>
      </c>
      <c r="H269" s="4"/>
    </row>
    <row r="270" customFormat="false" ht="15" hidden="false" customHeight="false" outlineLevel="0" collapsed="false">
      <c r="A270" s="12" t="str">
        <f aca="false">IF(B270="","",COUNTA($B$6:B270))</f>
        <v/>
      </c>
      <c r="B270" s="15"/>
      <c r="C270" s="4"/>
      <c r="D270" s="23"/>
      <c r="E270" s="15"/>
      <c r="F270" s="24" t="str">
        <f aca="false">IF(E270="","",IFERROR(INDEX('MA DVVC'!$B$4:$B$53,MATCH(E270,'MA DVVC'!$A$4:$A$53,0)),"Mã chưa có trong MA DVVC"))</f>
        <v/>
      </c>
      <c r="G270" s="12" t="str">
        <f aca="false">IF(B270="","",COUNTIF('BANG CAN'!$F$8:$F$1007,B270))</f>
        <v/>
      </c>
      <c r="H270" s="4"/>
    </row>
    <row r="271" customFormat="false" ht="15" hidden="false" customHeight="false" outlineLevel="0" collapsed="false">
      <c r="A271" s="12" t="str">
        <f aca="false">IF(B271="","",COUNTA($B$6:B271))</f>
        <v/>
      </c>
      <c r="B271" s="15"/>
      <c r="C271" s="4"/>
      <c r="D271" s="23"/>
      <c r="E271" s="15"/>
      <c r="F271" s="24" t="str">
        <f aca="false">IF(E271="","",IFERROR(INDEX('MA DVVC'!$B$4:$B$53,MATCH(E271,'MA DVVC'!$A$4:$A$53,0)),"Mã chưa có trong MA DVVC"))</f>
        <v/>
      </c>
      <c r="G271" s="12" t="str">
        <f aca="false">IF(B271="","",COUNTIF('BANG CAN'!$F$8:$F$1007,B271))</f>
        <v/>
      </c>
      <c r="H271" s="4"/>
    </row>
    <row r="272" customFormat="false" ht="15" hidden="false" customHeight="false" outlineLevel="0" collapsed="false">
      <c r="A272" s="12" t="str">
        <f aca="false">IF(B272="","",COUNTA($B$6:B272))</f>
        <v/>
      </c>
      <c r="B272" s="15"/>
      <c r="C272" s="4"/>
      <c r="D272" s="23"/>
      <c r="E272" s="15"/>
      <c r="F272" s="24" t="str">
        <f aca="false">IF(E272="","",IFERROR(INDEX('MA DVVC'!$B$4:$B$53,MATCH(E272,'MA DVVC'!$A$4:$A$53,0)),"Mã chưa có trong MA DVVC"))</f>
        <v/>
      </c>
      <c r="G272" s="12" t="str">
        <f aca="false">IF(B272="","",COUNTIF('BANG CAN'!$F$8:$F$1007,B272))</f>
        <v/>
      </c>
      <c r="H272" s="4"/>
    </row>
    <row r="273" customFormat="false" ht="15" hidden="false" customHeight="false" outlineLevel="0" collapsed="false">
      <c r="A273" s="12" t="str">
        <f aca="false">IF(B273="","",COUNTA($B$6:B273))</f>
        <v/>
      </c>
      <c r="B273" s="15"/>
      <c r="C273" s="4"/>
      <c r="D273" s="23"/>
      <c r="E273" s="15"/>
      <c r="F273" s="24" t="str">
        <f aca="false">IF(E273="","",IFERROR(INDEX('MA DVVC'!$B$4:$B$53,MATCH(E273,'MA DVVC'!$A$4:$A$53,0)),"Mã chưa có trong MA DVVC"))</f>
        <v/>
      </c>
      <c r="G273" s="12" t="str">
        <f aca="false">IF(B273="","",COUNTIF('BANG CAN'!$F$8:$F$1007,B273))</f>
        <v/>
      </c>
      <c r="H273" s="4"/>
    </row>
    <row r="274" customFormat="false" ht="15" hidden="false" customHeight="false" outlineLevel="0" collapsed="false">
      <c r="A274" s="12" t="str">
        <f aca="false">IF(B274="","",COUNTA($B$6:B274))</f>
        <v/>
      </c>
      <c r="B274" s="15"/>
      <c r="C274" s="4"/>
      <c r="D274" s="23"/>
      <c r="E274" s="15"/>
      <c r="F274" s="24" t="str">
        <f aca="false">IF(E274="","",IFERROR(INDEX('MA DVVC'!$B$4:$B$53,MATCH(E274,'MA DVVC'!$A$4:$A$53,0)),"Mã chưa có trong MA DVVC"))</f>
        <v/>
      </c>
      <c r="G274" s="12" t="str">
        <f aca="false">IF(B274="","",COUNTIF('BANG CAN'!$F$8:$F$1007,B274))</f>
        <v/>
      </c>
      <c r="H274" s="4"/>
    </row>
    <row r="275" customFormat="false" ht="15" hidden="false" customHeight="false" outlineLevel="0" collapsed="false">
      <c r="A275" s="12" t="str">
        <f aca="false">IF(B275="","",COUNTA($B$6:B275))</f>
        <v/>
      </c>
      <c r="B275" s="15"/>
      <c r="C275" s="4"/>
      <c r="D275" s="23"/>
      <c r="E275" s="15"/>
      <c r="F275" s="24" t="str">
        <f aca="false">IF(E275="","",IFERROR(INDEX('MA DVVC'!$B$4:$B$53,MATCH(E275,'MA DVVC'!$A$4:$A$53,0)),"Mã chưa có trong MA DVVC"))</f>
        <v/>
      </c>
      <c r="G275" s="12" t="str">
        <f aca="false">IF(B275="","",COUNTIF('BANG CAN'!$F$8:$F$1007,B275))</f>
        <v/>
      </c>
      <c r="H275" s="4"/>
    </row>
    <row r="276" customFormat="false" ht="15" hidden="false" customHeight="false" outlineLevel="0" collapsed="false">
      <c r="A276" s="12" t="str">
        <f aca="false">IF(B276="","",COUNTA($B$6:B276))</f>
        <v/>
      </c>
      <c r="B276" s="15"/>
      <c r="C276" s="4"/>
      <c r="D276" s="23"/>
      <c r="E276" s="15"/>
      <c r="F276" s="24" t="str">
        <f aca="false">IF(E276="","",IFERROR(INDEX('MA DVVC'!$B$4:$B$53,MATCH(E276,'MA DVVC'!$A$4:$A$53,0)),"Mã chưa có trong MA DVVC"))</f>
        <v/>
      </c>
      <c r="G276" s="12" t="str">
        <f aca="false">IF(B276="","",COUNTIF('BANG CAN'!$F$8:$F$1007,B276))</f>
        <v/>
      </c>
      <c r="H276" s="4"/>
    </row>
    <row r="277" customFormat="false" ht="15" hidden="false" customHeight="false" outlineLevel="0" collapsed="false">
      <c r="A277" s="12" t="str">
        <f aca="false">IF(B277="","",COUNTA($B$6:B277))</f>
        <v/>
      </c>
      <c r="B277" s="15"/>
      <c r="C277" s="4"/>
      <c r="D277" s="23"/>
      <c r="E277" s="15"/>
      <c r="F277" s="24" t="str">
        <f aca="false">IF(E277="","",IFERROR(INDEX('MA DVVC'!$B$4:$B$53,MATCH(E277,'MA DVVC'!$A$4:$A$53,0)),"Mã chưa có trong MA DVVC"))</f>
        <v/>
      </c>
      <c r="G277" s="12" t="str">
        <f aca="false">IF(B277="","",COUNTIF('BANG CAN'!$F$8:$F$1007,B277))</f>
        <v/>
      </c>
      <c r="H277" s="4"/>
    </row>
    <row r="278" customFormat="false" ht="15" hidden="false" customHeight="false" outlineLevel="0" collapsed="false">
      <c r="A278" s="12" t="str">
        <f aca="false">IF(B278="","",COUNTA($B$6:B278))</f>
        <v/>
      </c>
      <c r="B278" s="15"/>
      <c r="C278" s="4"/>
      <c r="D278" s="23"/>
      <c r="E278" s="15"/>
      <c r="F278" s="24" t="str">
        <f aca="false">IF(E278="","",IFERROR(INDEX('MA DVVC'!$B$4:$B$53,MATCH(E278,'MA DVVC'!$A$4:$A$53,0)),"Mã chưa có trong MA DVVC"))</f>
        <v/>
      </c>
      <c r="G278" s="12" t="str">
        <f aca="false">IF(B278="","",COUNTIF('BANG CAN'!$F$8:$F$1007,B278))</f>
        <v/>
      </c>
      <c r="H278" s="4"/>
    </row>
    <row r="279" customFormat="false" ht="15" hidden="false" customHeight="false" outlineLevel="0" collapsed="false">
      <c r="A279" s="12" t="str">
        <f aca="false">IF(B279="","",COUNTA($B$6:B279))</f>
        <v/>
      </c>
      <c r="B279" s="15"/>
      <c r="C279" s="4"/>
      <c r="D279" s="23"/>
      <c r="E279" s="15"/>
      <c r="F279" s="24" t="str">
        <f aca="false">IF(E279="","",IFERROR(INDEX('MA DVVC'!$B$4:$B$53,MATCH(E279,'MA DVVC'!$A$4:$A$53,0)),"Mã chưa có trong MA DVVC"))</f>
        <v/>
      </c>
      <c r="G279" s="12" t="str">
        <f aca="false">IF(B279="","",COUNTIF('BANG CAN'!$F$8:$F$1007,B279))</f>
        <v/>
      </c>
      <c r="H279" s="4"/>
    </row>
    <row r="280" customFormat="false" ht="15" hidden="false" customHeight="false" outlineLevel="0" collapsed="false">
      <c r="A280" s="12" t="str">
        <f aca="false">IF(B280="","",COUNTA($B$6:B280))</f>
        <v/>
      </c>
      <c r="B280" s="15"/>
      <c r="C280" s="4"/>
      <c r="D280" s="23"/>
      <c r="E280" s="15"/>
      <c r="F280" s="24" t="str">
        <f aca="false">IF(E280="","",IFERROR(INDEX('MA DVVC'!$B$4:$B$53,MATCH(E280,'MA DVVC'!$A$4:$A$53,0)),"Mã chưa có trong MA DVVC"))</f>
        <v/>
      </c>
      <c r="G280" s="12" t="str">
        <f aca="false">IF(B280="","",COUNTIF('BANG CAN'!$F$8:$F$1007,B280))</f>
        <v/>
      </c>
      <c r="H280" s="4"/>
    </row>
    <row r="281" customFormat="false" ht="15" hidden="false" customHeight="false" outlineLevel="0" collapsed="false">
      <c r="A281" s="12" t="str">
        <f aca="false">IF(B281="","",COUNTA($B$6:B281))</f>
        <v/>
      </c>
      <c r="B281" s="15"/>
      <c r="C281" s="4"/>
      <c r="D281" s="23"/>
      <c r="E281" s="15"/>
      <c r="F281" s="24" t="str">
        <f aca="false">IF(E281="","",IFERROR(INDEX('MA DVVC'!$B$4:$B$53,MATCH(E281,'MA DVVC'!$A$4:$A$53,0)),"Mã chưa có trong MA DVVC"))</f>
        <v/>
      </c>
      <c r="G281" s="12" t="str">
        <f aca="false">IF(B281="","",COUNTIF('BANG CAN'!$F$8:$F$1007,B281))</f>
        <v/>
      </c>
      <c r="H281" s="4"/>
    </row>
    <row r="282" customFormat="false" ht="15" hidden="false" customHeight="false" outlineLevel="0" collapsed="false">
      <c r="A282" s="12" t="str">
        <f aca="false">IF(B282="","",COUNTA($B$6:B282))</f>
        <v/>
      </c>
      <c r="B282" s="15"/>
      <c r="C282" s="4"/>
      <c r="D282" s="23"/>
      <c r="E282" s="15"/>
      <c r="F282" s="24" t="str">
        <f aca="false">IF(E282="","",IFERROR(INDEX('MA DVVC'!$B$4:$B$53,MATCH(E282,'MA DVVC'!$A$4:$A$53,0)),"Mã chưa có trong MA DVVC"))</f>
        <v/>
      </c>
      <c r="G282" s="12" t="str">
        <f aca="false">IF(B282="","",COUNTIF('BANG CAN'!$F$8:$F$1007,B282))</f>
        <v/>
      </c>
      <c r="H282" s="4"/>
    </row>
    <row r="283" customFormat="false" ht="15" hidden="false" customHeight="false" outlineLevel="0" collapsed="false">
      <c r="A283" s="12" t="str">
        <f aca="false">IF(B283="","",COUNTA($B$6:B283))</f>
        <v/>
      </c>
      <c r="B283" s="15"/>
      <c r="C283" s="4"/>
      <c r="D283" s="23"/>
      <c r="E283" s="15"/>
      <c r="F283" s="24" t="str">
        <f aca="false">IF(E283="","",IFERROR(INDEX('MA DVVC'!$B$4:$B$53,MATCH(E283,'MA DVVC'!$A$4:$A$53,0)),"Mã chưa có trong MA DVVC"))</f>
        <v/>
      </c>
      <c r="G283" s="12" t="str">
        <f aca="false">IF(B283="","",COUNTIF('BANG CAN'!$F$8:$F$1007,B283))</f>
        <v/>
      </c>
      <c r="H283" s="4"/>
    </row>
    <row r="284" customFormat="false" ht="15" hidden="false" customHeight="false" outlineLevel="0" collapsed="false">
      <c r="A284" s="12" t="str">
        <f aca="false">IF(B284="","",COUNTA($B$6:B284))</f>
        <v/>
      </c>
      <c r="B284" s="15"/>
      <c r="C284" s="4"/>
      <c r="D284" s="23"/>
      <c r="E284" s="15"/>
      <c r="F284" s="24" t="str">
        <f aca="false">IF(E284="","",IFERROR(INDEX('MA DVVC'!$B$4:$B$53,MATCH(E284,'MA DVVC'!$A$4:$A$53,0)),"Mã chưa có trong MA DVVC"))</f>
        <v/>
      </c>
      <c r="G284" s="12" t="str">
        <f aca="false">IF(B284="","",COUNTIF('BANG CAN'!$F$8:$F$1007,B284))</f>
        <v/>
      </c>
      <c r="H284" s="4"/>
    </row>
    <row r="285" customFormat="false" ht="15" hidden="false" customHeight="false" outlineLevel="0" collapsed="false">
      <c r="A285" s="12" t="str">
        <f aca="false">IF(B285="","",COUNTA($B$6:B285))</f>
        <v/>
      </c>
      <c r="B285" s="15"/>
      <c r="C285" s="4"/>
      <c r="D285" s="23"/>
      <c r="E285" s="15"/>
      <c r="F285" s="24" t="str">
        <f aca="false">IF(E285="","",IFERROR(INDEX('MA DVVC'!$B$4:$B$53,MATCH(E285,'MA DVVC'!$A$4:$A$53,0)),"Mã chưa có trong MA DVVC"))</f>
        <v/>
      </c>
      <c r="G285" s="12" t="str">
        <f aca="false">IF(B285="","",COUNTIF('BANG CAN'!$F$8:$F$1007,B285))</f>
        <v/>
      </c>
      <c r="H285" s="4"/>
    </row>
    <row r="286" customFormat="false" ht="15" hidden="false" customHeight="false" outlineLevel="0" collapsed="false">
      <c r="A286" s="12" t="str">
        <f aca="false">IF(B286="","",COUNTA($B$6:B286))</f>
        <v/>
      </c>
      <c r="B286" s="15"/>
      <c r="C286" s="4"/>
      <c r="D286" s="23"/>
      <c r="E286" s="15"/>
      <c r="F286" s="24" t="str">
        <f aca="false">IF(E286="","",IFERROR(INDEX('MA DVVC'!$B$4:$B$53,MATCH(E286,'MA DVVC'!$A$4:$A$53,0)),"Mã chưa có trong MA DVVC"))</f>
        <v/>
      </c>
      <c r="G286" s="12" t="str">
        <f aca="false">IF(B286="","",COUNTIF('BANG CAN'!$F$8:$F$1007,B286))</f>
        <v/>
      </c>
      <c r="H286" s="4"/>
    </row>
    <row r="287" customFormat="false" ht="15" hidden="false" customHeight="false" outlineLevel="0" collapsed="false">
      <c r="A287" s="12" t="str">
        <f aca="false">IF(B287="","",COUNTA($B$6:B287))</f>
        <v/>
      </c>
      <c r="B287" s="15"/>
      <c r="C287" s="4"/>
      <c r="D287" s="23"/>
      <c r="E287" s="15"/>
      <c r="F287" s="24" t="str">
        <f aca="false">IF(E287="","",IFERROR(INDEX('MA DVVC'!$B$4:$B$53,MATCH(E287,'MA DVVC'!$A$4:$A$53,0)),"Mã chưa có trong MA DVVC"))</f>
        <v/>
      </c>
      <c r="G287" s="12" t="str">
        <f aca="false">IF(B287="","",COUNTIF('BANG CAN'!$F$8:$F$1007,B287))</f>
        <v/>
      </c>
      <c r="H287" s="4"/>
    </row>
    <row r="288" customFormat="false" ht="15" hidden="false" customHeight="false" outlineLevel="0" collapsed="false">
      <c r="A288" s="12" t="str">
        <f aca="false">IF(B288="","",COUNTA($B$6:B288))</f>
        <v/>
      </c>
      <c r="B288" s="15"/>
      <c r="C288" s="4"/>
      <c r="D288" s="23"/>
      <c r="E288" s="15"/>
      <c r="F288" s="24" t="str">
        <f aca="false">IF(E288="","",IFERROR(INDEX('MA DVVC'!$B$4:$B$53,MATCH(E288,'MA DVVC'!$A$4:$A$53,0)),"Mã chưa có trong MA DVVC"))</f>
        <v/>
      </c>
      <c r="G288" s="12" t="str">
        <f aca="false">IF(B288="","",COUNTIF('BANG CAN'!$F$8:$F$1007,B288))</f>
        <v/>
      </c>
      <c r="H288" s="4"/>
    </row>
    <row r="289" customFormat="false" ht="15" hidden="false" customHeight="false" outlineLevel="0" collapsed="false">
      <c r="A289" s="12" t="str">
        <f aca="false">IF(B289="","",COUNTA($B$6:B289))</f>
        <v/>
      </c>
      <c r="B289" s="15"/>
      <c r="C289" s="4"/>
      <c r="D289" s="23"/>
      <c r="E289" s="15"/>
      <c r="F289" s="24" t="str">
        <f aca="false">IF(E289="","",IFERROR(INDEX('MA DVVC'!$B$4:$B$53,MATCH(E289,'MA DVVC'!$A$4:$A$53,0)),"Mã chưa có trong MA DVVC"))</f>
        <v/>
      </c>
      <c r="G289" s="12" t="str">
        <f aca="false">IF(B289="","",COUNTIF('BANG CAN'!$F$8:$F$1007,B289))</f>
        <v/>
      </c>
      <c r="H289" s="4"/>
    </row>
    <row r="290" customFormat="false" ht="15" hidden="false" customHeight="false" outlineLevel="0" collapsed="false">
      <c r="A290" s="12" t="str">
        <f aca="false">IF(B290="","",COUNTA($B$6:B290))</f>
        <v/>
      </c>
      <c r="B290" s="15"/>
      <c r="C290" s="4"/>
      <c r="D290" s="23"/>
      <c r="E290" s="15"/>
      <c r="F290" s="24" t="str">
        <f aca="false">IF(E290="","",IFERROR(INDEX('MA DVVC'!$B$4:$B$53,MATCH(E290,'MA DVVC'!$A$4:$A$53,0)),"Mã chưa có trong MA DVVC"))</f>
        <v/>
      </c>
      <c r="G290" s="12" t="str">
        <f aca="false">IF(B290="","",COUNTIF('BANG CAN'!$F$8:$F$1007,B290))</f>
        <v/>
      </c>
      <c r="H290" s="4"/>
    </row>
    <row r="291" customFormat="false" ht="15" hidden="false" customHeight="false" outlineLevel="0" collapsed="false">
      <c r="A291" s="12" t="str">
        <f aca="false">IF(B291="","",COUNTA($B$6:B291))</f>
        <v/>
      </c>
      <c r="B291" s="15"/>
      <c r="C291" s="4"/>
      <c r="D291" s="23"/>
      <c r="E291" s="15"/>
      <c r="F291" s="24" t="str">
        <f aca="false">IF(E291="","",IFERROR(INDEX('MA DVVC'!$B$4:$B$53,MATCH(E291,'MA DVVC'!$A$4:$A$53,0)),"Mã chưa có trong MA DVVC"))</f>
        <v/>
      </c>
      <c r="G291" s="12" t="str">
        <f aca="false">IF(B291="","",COUNTIF('BANG CAN'!$F$8:$F$1007,B291))</f>
        <v/>
      </c>
      <c r="H291" s="4"/>
    </row>
    <row r="292" customFormat="false" ht="15" hidden="false" customHeight="false" outlineLevel="0" collapsed="false">
      <c r="A292" s="12" t="str">
        <f aca="false">IF(B292="","",COUNTA($B$6:B292))</f>
        <v/>
      </c>
      <c r="B292" s="15"/>
      <c r="C292" s="4"/>
      <c r="D292" s="23"/>
      <c r="E292" s="15"/>
      <c r="F292" s="24" t="str">
        <f aca="false">IF(E292="","",IFERROR(INDEX('MA DVVC'!$B$4:$B$53,MATCH(E292,'MA DVVC'!$A$4:$A$53,0)),"Mã chưa có trong MA DVVC"))</f>
        <v/>
      </c>
      <c r="G292" s="12" t="str">
        <f aca="false">IF(B292="","",COUNTIF('BANG CAN'!$F$8:$F$1007,B292))</f>
        <v/>
      </c>
      <c r="H292" s="4"/>
    </row>
    <row r="293" customFormat="false" ht="15" hidden="false" customHeight="false" outlineLevel="0" collapsed="false">
      <c r="A293" s="12" t="str">
        <f aca="false">IF(B293="","",COUNTA($B$6:B293))</f>
        <v/>
      </c>
      <c r="B293" s="15"/>
      <c r="C293" s="4"/>
      <c r="D293" s="23"/>
      <c r="E293" s="15"/>
      <c r="F293" s="24" t="str">
        <f aca="false">IF(E293="","",IFERROR(INDEX('MA DVVC'!$B$4:$B$53,MATCH(E293,'MA DVVC'!$A$4:$A$53,0)),"Mã chưa có trong MA DVVC"))</f>
        <v/>
      </c>
      <c r="G293" s="12" t="str">
        <f aca="false">IF(B293="","",COUNTIF('BANG CAN'!$F$8:$F$1007,B293))</f>
        <v/>
      </c>
      <c r="H293" s="4"/>
    </row>
    <row r="294" customFormat="false" ht="15" hidden="false" customHeight="false" outlineLevel="0" collapsed="false">
      <c r="A294" s="12" t="str">
        <f aca="false">IF(B294="","",COUNTA($B$6:B294))</f>
        <v/>
      </c>
      <c r="B294" s="15"/>
      <c r="C294" s="4"/>
      <c r="D294" s="23"/>
      <c r="E294" s="15"/>
      <c r="F294" s="24" t="str">
        <f aca="false">IF(E294="","",IFERROR(INDEX('MA DVVC'!$B$4:$B$53,MATCH(E294,'MA DVVC'!$A$4:$A$53,0)),"Mã chưa có trong MA DVVC"))</f>
        <v/>
      </c>
      <c r="G294" s="12" t="str">
        <f aca="false">IF(B294="","",COUNTIF('BANG CAN'!$F$8:$F$1007,B294))</f>
        <v/>
      </c>
      <c r="H294" s="4"/>
    </row>
    <row r="295" customFormat="false" ht="15" hidden="false" customHeight="false" outlineLevel="0" collapsed="false">
      <c r="A295" s="12" t="str">
        <f aca="false">IF(B295="","",COUNTA($B$6:B295))</f>
        <v/>
      </c>
      <c r="B295" s="15"/>
      <c r="C295" s="4"/>
      <c r="D295" s="23"/>
      <c r="E295" s="15"/>
      <c r="F295" s="24" t="str">
        <f aca="false">IF(E295="","",IFERROR(INDEX('MA DVVC'!$B$4:$B$53,MATCH(E295,'MA DVVC'!$A$4:$A$53,0)),"Mã chưa có trong MA DVVC"))</f>
        <v/>
      </c>
      <c r="G295" s="12" t="str">
        <f aca="false">IF(B295="","",COUNTIF('BANG CAN'!$F$8:$F$1007,B295))</f>
        <v/>
      </c>
      <c r="H295" s="4"/>
    </row>
    <row r="296" customFormat="false" ht="15" hidden="false" customHeight="false" outlineLevel="0" collapsed="false">
      <c r="A296" s="12" t="str">
        <f aca="false">IF(B296="","",COUNTA($B$6:B296))</f>
        <v/>
      </c>
      <c r="B296" s="15"/>
      <c r="C296" s="4"/>
      <c r="D296" s="23"/>
      <c r="E296" s="15"/>
      <c r="F296" s="24" t="str">
        <f aca="false">IF(E296="","",IFERROR(INDEX('MA DVVC'!$B$4:$B$53,MATCH(E296,'MA DVVC'!$A$4:$A$53,0)),"Mã chưa có trong MA DVVC"))</f>
        <v/>
      </c>
      <c r="G296" s="12" t="str">
        <f aca="false">IF(B296="","",COUNTIF('BANG CAN'!$F$8:$F$1007,B296))</f>
        <v/>
      </c>
      <c r="H296" s="4"/>
    </row>
    <row r="297" customFormat="false" ht="15" hidden="false" customHeight="false" outlineLevel="0" collapsed="false">
      <c r="A297" s="12" t="str">
        <f aca="false">IF(B297="","",COUNTA($B$6:B297))</f>
        <v/>
      </c>
      <c r="B297" s="15"/>
      <c r="C297" s="4"/>
      <c r="D297" s="23"/>
      <c r="E297" s="15"/>
      <c r="F297" s="24" t="str">
        <f aca="false">IF(E297="","",IFERROR(INDEX('MA DVVC'!$B$4:$B$53,MATCH(E297,'MA DVVC'!$A$4:$A$53,0)),"Mã chưa có trong MA DVVC"))</f>
        <v/>
      </c>
      <c r="G297" s="12" t="str">
        <f aca="false">IF(B297="","",COUNTIF('BANG CAN'!$F$8:$F$1007,B297))</f>
        <v/>
      </c>
      <c r="H297" s="4"/>
    </row>
    <row r="298" customFormat="false" ht="15" hidden="false" customHeight="false" outlineLevel="0" collapsed="false">
      <c r="A298" s="12" t="str">
        <f aca="false">IF(B298="","",COUNTA($B$6:B298))</f>
        <v/>
      </c>
      <c r="B298" s="15"/>
      <c r="C298" s="4"/>
      <c r="D298" s="23"/>
      <c r="E298" s="15"/>
      <c r="F298" s="24" t="str">
        <f aca="false">IF(E298="","",IFERROR(INDEX('MA DVVC'!$B$4:$B$53,MATCH(E298,'MA DVVC'!$A$4:$A$53,0)),"Mã chưa có trong MA DVVC"))</f>
        <v/>
      </c>
      <c r="G298" s="12" t="str">
        <f aca="false">IF(B298="","",COUNTIF('BANG CAN'!$F$8:$F$1007,B298))</f>
        <v/>
      </c>
      <c r="H298" s="4"/>
    </row>
    <row r="299" customFormat="false" ht="15" hidden="false" customHeight="false" outlineLevel="0" collapsed="false">
      <c r="A299" s="12" t="str">
        <f aca="false">IF(B299="","",COUNTA($B$6:B299))</f>
        <v/>
      </c>
      <c r="B299" s="15"/>
      <c r="C299" s="4"/>
      <c r="D299" s="23"/>
      <c r="E299" s="15"/>
      <c r="F299" s="24" t="str">
        <f aca="false">IF(E299="","",IFERROR(INDEX('MA DVVC'!$B$4:$B$53,MATCH(E299,'MA DVVC'!$A$4:$A$53,0)),"Mã chưa có trong MA DVVC"))</f>
        <v/>
      </c>
      <c r="G299" s="12" t="str">
        <f aca="false">IF(B299="","",COUNTIF('BANG CAN'!$F$8:$F$1007,B299))</f>
        <v/>
      </c>
      <c r="H299" s="4"/>
    </row>
    <row r="300" customFormat="false" ht="15" hidden="false" customHeight="false" outlineLevel="0" collapsed="false">
      <c r="A300" s="12" t="str">
        <f aca="false">IF(B300="","",COUNTA($B$6:B300))</f>
        <v/>
      </c>
      <c r="B300" s="15"/>
      <c r="C300" s="4"/>
      <c r="D300" s="23"/>
      <c r="E300" s="15"/>
      <c r="F300" s="24" t="str">
        <f aca="false">IF(E300="","",IFERROR(INDEX('MA DVVC'!$B$4:$B$53,MATCH(E300,'MA DVVC'!$A$4:$A$53,0)),"Mã chưa có trong MA DVVC"))</f>
        <v/>
      </c>
      <c r="G300" s="12" t="str">
        <f aca="false">IF(B300="","",COUNTIF('BANG CAN'!$F$8:$F$1007,B300))</f>
        <v/>
      </c>
      <c r="H300" s="4"/>
    </row>
    <row r="301" customFormat="false" ht="15" hidden="false" customHeight="false" outlineLevel="0" collapsed="false">
      <c r="A301" s="12" t="str">
        <f aca="false">IF(B301="","",COUNTA($B$6:B301))</f>
        <v/>
      </c>
      <c r="B301" s="15"/>
      <c r="C301" s="4"/>
      <c r="D301" s="23"/>
      <c r="E301" s="15"/>
      <c r="F301" s="24" t="str">
        <f aca="false">IF(E301="","",IFERROR(INDEX('MA DVVC'!$B$4:$B$53,MATCH(E301,'MA DVVC'!$A$4:$A$53,0)),"Mã chưa có trong MA DVVC"))</f>
        <v/>
      </c>
      <c r="G301" s="12" t="str">
        <f aca="false">IF(B301="","",COUNTIF('BANG CAN'!$F$8:$F$1007,B301))</f>
        <v/>
      </c>
      <c r="H301" s="4"/>
    </row>
    <row r="302" customFormat="false" ht="15" hidden="false" customHeight="false" outlineLevel="0" collapsed="false">
      <c r="A302" s="12" t="str">
        <f aca="false">IF(B302="","",COUNTA($B$6:B302))</f>
        <v/>
      </c>
      <c r="B302" s="15"/>
      <c r="C302" s="4"/>
      <c r="D302" s="23"/>
      <c r="E302" s="15"/>
      <c r="F302" s="24" t="str">
        <f aca="false">IF(E302="","",IFERROR(INDEX('MA DVVC'!$B$4:$B$53,MATCH(E302,'MA DVVC'!$A$4:$A$53,0)),"Mã chưa có trong MA DVVC"))</f>
        <v/>
      </c>
      <c r="G302" s="12" t="str">
        <f aca="false">IF(B302="","",COUNTIF('BANG CAN'!$F$8:$F$1007,B302))</f>
        <v/>
      </c>
      <c r="H302" s="4"/>
    </row>
    <row r="303" customFormat="false" ht="15" hidden="false" customHeight="false" outlineLevel="0" collapsed="false">
      <c r="A303" s="12" t="str">
        <f aca="false">IF(B303="","",COUNTA($B$6:B303))</f>
        <v/>
      </c>
      <c r="B303" s="15"/>
      <c r="C303" s="4"/>
      <c r="D303" s="23"/>
      <c r="E303" s="15"/>
      <c r="F303" s="24" t="str">
        <f aca="false">IF(E303="","",IFERROR(INDEX('MA DVVC'!$B$4:$B$53,MATCH(E303,'MA DVVC'!$A$4:$A$53,0)),"Mã chưa có trong MA DVVC"))</f>
        <v/>
      </c>
      <c r="G303" s="12" t="str">
        <f aca="false">IF(B303="","",COUNTIF('BANG CAN'!$F$8:$F$1007,B303))</f>
        <v/>
      </c>
      <c r="H303" s="4"/>
    </row>
    <row r="304" customFormat="false" ht="15" hidden="false" customHeight="false" outlineLevel="0" collapsed="false">
      <c r="A304" s="12" t="str">
        <f aca="false">IF(B304="","",COUNTA($B$6:B304))</f>
        <v/>
      </c>
      <c r="B304" s="15"/>
      <c r="C304" s="4"/>
      <c r="D304" s="23"/>
      <c r="E304" s="15"/>
      <c r="F304" s="24" t="str">
        <f aca="false">IF(E304="","",IFERROR(INDEX('MA DVVC'!$B$4:$B$53,MATCH(E304,'MA DVVC'!$A$4:$A$53,0)),"Mã chưa có trong MA DVVC"))</f>
        <v/>
      </c>
      <c r="G304" s="12" t="str">
        <f aca="false">IF(B304="","",COUNTIF('BANG CAN'!$F$8:$F$1007,B304))</f>
        <v/>
      </c>
      <c r="H304" s="4"/>
    </row>
    <row r="305" customFormat="false" ht="15" hidden="false" customHeight="false" outlineLevel="0" collapsed="false">
      <c r="A305" s="12" t="str">
        <f aca="false">IF(B305="","",COUNTA($B$6:B305))</f>
        <v/>
      </c>
      <c r="B305" s="15"/>
      <c r="C305" s="4"/>
      <c r="D305" s="23"/>
      <c r="E305" s="15"/>
      <c r="F305" s="24" t="str">
        <f aca="false">IF(E305="","",IFERROR(INDEX('MA DVVC'!$B$4:$B$53,MATCH(E305,'MA DVVC'!$A$4:$A$53,0)),"Mã chưa có trong MA DVVC"))</f>
        <v/>
      </c>
      <c r="G305" s="12" t="str">
        <f aca="false">IF(B305="","",COUNTIF('BANG CAN'!$F$8:$F$1007,B305))</f>
        <v/>
      </c>
      <c r="H305" s="4"/>
    </row>
    <row r="306" customFormat="false" ht="15" hidden="false" customHeight="false" outlineLevel="0" collapsed="false">
      <c r="A306" s="12" t="str">
        <f aca="false">IF(B306="","",COUNTA($B$6:B306))</f>
        <v/>
      </c>
      <c r="B306" s="15"/>
      <c r="C306" s="4"/>
      <c r="D306" s="23"/>
      <c r="E306" s="15"/>
      <c r="F306" s="24" t="str">
        <f aca="false">IF(E306="","",IFERROR(INDEX('MA DVVC'!$B$4:$B$53,MATCH(E306,'MA DVVC'!$A$4:$A$53,0)),"Mã chưa có trong MA DVVC"))</f>
        <v/>
      </c>
      <c r="G306" s="12" t="str">
        <f aca="false">IF(B306="","",COUNTIF('BANG CAN'!$F$8:$F$1007,B306))</f>
        <v/>
      </c>
      <c r="H306" s="4"/>
    </row>
    <row r="307" customFormat="false" ht="15" hidden="false" customHeight="false" outlineLevel="0" collapsed="false">
      <c r="A307" s="12" t="str">
        <f aca="false">IF(B307="","",COUNTA($B$6:B307))</f>
        <v/>
      </c>
      <c r="B307" s="15"/>
      <c r="C307" s="4"/>
      <c r="D307" s="23"/>
      <c r="E307" s="15"/>
      <c r="F307" s="24" t="str">
        <f aca="false">IF(E307="","",IFERROR(INDEX('MA DVVC'!$B$4:$B$53,MATCH(E307,'MA DVVC'!$A$4:$A$53,0)),"Mã chưa có trong MA DVVC"))</f>
        <v/>
      </c>
      <c r="G307" s="12" t="str">
        <f aca="false">IF(B307="","",COUNTIF('BANG CAN'!$F$8:$F$1007,B307))</f>
        <v/>
      </c>
      <c r="H307" s="4"/>
    </row>
    <row r="308" customFormat="false" ht="15" hidden="false" customHeight="false" outlineLevel="0" collapsed="false">
      <c r="A308" s="12" t="str">
        <f aca="false">IF(B308="","",COUNTA($B$6:B308))</f>
        <v/>
      </c>
      <c r="B308" s="15"/>
      <c r="C308" s="4"/>
      <c r="D308" s="23"/>
      <c r="E308" s="15"/>
      <c r="F308" s="24" t="str">
        <f aca="false">IF(E308="","",IFERROR(INDEX('MA DVVC'!$B$4:$B$53,MATCH(E308,'MA DVVC'!$A$4:$A$53,0)),"Mã chưa có trong MA DVVC"))</f>
        <v/>
      </c>
      <c r="G308" s="12" t="str">
        <f aca="false">IF(B308="","",COUNTIF('BANG CAN'!$F$8:$F$1007,B308))</f>
        <v/>
      </c>
      <c r="H308" s="4"/>
    </row>
    <row r="309" customFormat="false" ht="15" hidden="false" customHeight="false" outlineLevel="0" collapsed="false">
      <c r="A309" s="12" t="str">
        <f aca="false">IF(B309="","",COUNTA($B$6:B309))</f>
        <v/>
      </c>
      <c r="B309" s="15"/>
      <c r="C309" s="4"/>
      <c r="D309" s="23"/>
      <c r="E309" s="15"/>
      <c r="F309" s="24" t="str">
        <f aca="false">IF(E309="","",IFERROR(INDEX('MA DVVC'!$B$4:$B$53,MATCH(E309,'MA DVVC'!$A$4:$A$53,0)),"Mã chưa có trong MA DVVC"))</f>
        <v/>
      </c>
      <c r="G309" s="12" t="str">
        <f aca="false">IF(B309="","",COUNTIF('BANG CAN'!$F$8:$F$1007,B309))</f>
        <v/>
      </c>
      <c r="H309" s="4"/>
    </row>
    <row r="310" customFormat="false" ht="15" hidden="false" customHeight="false" outlineLevel="0" collapsed="false">
      <c r="A310" s="12" t="str">
        <f aca="false">IF(B310="","",COUNTA($B$6:B310))</f>
        <v/>
      </c>
      <c r="B310" s="15"/>
      <c r="C310" s="4"/>
      <c r="D310" s="23"/>
      <c r="E310" s="15"/>
      <c r="F310" s="24" t="str">
        <f aca="false">IF(E310="","",IFERROR(INDEX('MA DVVC'!$B$4:$B$53,MATCH(E310,'MA DVVC'!$A$4:$A$53,0)),"Mã chưa có trong MA DVVC"))</f>
        <v/>
      </c>
      <c r="G310" s="12" t="str">
        <f aca="false">IF(B310="","",COUNTIF('BANG CAN'!$F$8:$F$1007,B310))</f>
        <v/>
      </c>
      <c r="H310" s="4"/>
    </row>
    <row r="311" customFormat="false" ht="15" hidden="false" customHeight="false" outlineLevel="0" collapsed="false">
      <c r="A311" s="12" t="str">
        <f aca="false">IF(B311="","",COUNTA($B$6:B311))</f>
        <v/>
      </c>
      <c r="B311" s="15"/>
      <c r="C311" s="4"/>
      <c r="D311" s="23"/>
      <c r="E311" s="15"/>
      <c r="F311" s="24" t="str">
        <f aca="false">IF(E311="","",IFERROR(INDEX('MA DVVC'!$B$4:$B$53,MATCH(E311,'MA DVVC'!$A$4:$A$53,0)),"Mã chưa có trong MA DVVC"))</f>
        <v/>
      </c>
      <c r="G311" s="12" t="str">
        <f aca="false">IF(B311="","",COUNTIF('BANG CAN'!$F$8:$F$1007,B311))</f>
        <v/>
      </c>
      <c r="H311" s="4"/>
    </row>
    <row r="312" customFormat="false" ht="15" hidden="false" customHeight="false" outlineLevel="0" collapsed="false">
      <c r="A312" s="12" t="str">
        <f aca="false">IF(B312="","",COUNTA($B$6:B312))</f>
        <v/>
      </c>
      <c r="B312" s="15"/>
      <c r="C312" s="4"/>
      <c r="D312" s="23"/>
      <c r="E312" s="15"/>
      <c r="F312" s="24" t="str">
        <f aca="false">IF(E312="","",IFERROR(INDEX('MA DVVC'!$B$4:$B$53,MATCH(E312,'MA DVVC'!$A$4:$A$53,0)),"Mã chưa có trong MA DVVC"))</f>
        <v/>
      </c>
      <c r="G312" s="12" t="str">
        <f aca="false">IF(B312="","",COUNTIF('BANG CAN'!$F$8:$F$1007,B312))</f>
        <v/>
      </c>
      <c r="H312" s="4"/>
    </row>
    <row r="313" customFormat="false" ht="15" hidden="false" customHeight="false" outlineLevel="0" collapsed="false">
      <c r="A313" s="12" t="str">
        <f aca="false">IF(B313="","",COUNTA($B$6:B313))</f>
        <v/>
      </c>
      <c r="B313" s="15"/>
      <c r="C313" s="4"/>
      <c r="D313" s="23"/>
      <c r="E313" s="15"/>
      <c r="F313" s="24" t="str">
        <f aca="false">IF(E313="","",IFERROR(INDEX('MA DVVC'!$B$4:$B$53,MATCH(E313,'MA DVVC'!$A$4:$A$53,0)),"Mã chưa có trong MA DVVC"))</f>
        <v/>
      </c>
      <c r="G313" s="12" t="str">
        <f aca="false">IF(B313="","",COUNTIF('BANG CAN'!$F$8:$F$1007,B313))</f>
        <v/>
      </c>
      <c r="H313" s="4"/>
    </row>
    <row r="314" customFormat="false" ht="15" hidden="false" customHeight="false" outlineLevel="0" collapsed="false">
      <c r="A314" s="12" t="str">
        <f aca="false">IF(B314="","",COUNTA($B$6:B314))</f>
        <v/>
      </c>
      <c r="B314" s="15"/>
      <c r="C314" s="4"/>
      <c r="D314" s="23"/>
      <c r="E314" s="15"/>
      <c r="F314" s="24" t="str">
        <f aca="false">IF(E314="","",IFERROR(INDEX('MA DVVC'!$B$4:$B$53,MATCH(E314,'MA DVVC'!$A$4:$A$53,0)),"Mã chưa có trong MA DVVC"))</f>
        <v/>
      </c>
      <c r="G314" s="12" t="str">
        <f aca="false">IF(B314="","",COUNTIF('BANG CAN'!$F$8:$F$1007,B314))</f>
        <v/>
      </c>
      <c r="H314" s="4"/>
    </row>
    <row r="315" customFormat="false" ht="15" hidden="false" customHeight="false" outlineLevel="0" collapsed="false">
      <c r="A315" s="12" t="str">
        <f aca="false">IF(B315="","",COUNTA($B$6:B315))</f>
        <v/>
      </c>
      <c r="B315" s="15"/>
      <c r="C315" s="4"/>
      <c r="D315" s="23"/>
      <c r="E315" s="15"/>
      <c r="F315" s="24" t="str">
        <f aca="false">IF(E315="","",IFERROR(INDEX('MA DVVC'!$B$4:$B$53,MATCH(E315,'MA DVVC'!$A$4:$A$53,0)),"Mã chưa có trong MA DVVC"))</f>
        <v/>
      </c>
      <c r="G315" s="12" t="str">
        <f aca="false">IF(B315="","",COUNTIF('BANG CAN'!$F$8:$F$1007,B315))</f>
        <v/>
      </c>
      <c r="H315" s="4"/>
    </row>
    <row r="316" customFormat="false" ht="15" hidden="false" customHeight="false" outlineLevel="0" collapsed="false">
      <c r="A316" s="12" t="str">
        <f aca="false">IF(B316="","",COUNTA($B$6:B316))</f>
        <v/>
      </c>
      <c r="B316" s="15"/>
      <c r="C316" s="4"/>
      <c r="D316" s="23"/>
      <c r="E316" s="15"/>
      <c r="F316" s="24" t="str">
        <f aca="false">IF(E316="","",IFERROR(INDEX('MA DVVC'!$B$4:$B$53,MATCH(E316,'MA DVVC'!$A$4:$A$53,0)),"Mã chưa có trong MA DVVC"))</f>
        <v/>
      </c>
      <c r="G316" s="12" t="str">
        <f aca="false">IF(B316="","",COUNTIF('BANG CAN'!$F$8:$F$1007,B316))</f>
        <v/>
      </c>
      <c r="H316" s="4"/>
    </row>
    <row r="317" customFormat="false" ht="15" hidden="false" customHeight="false" outlineLevel="0" collapsed="false">
      <c r="A317" s="12" t="str">
        <f aca="false">IF(B317="","",COUNTA($B$6:B317))</f>
        <v/>
      </c>
      <c r="B317" s="15"/>
      <c r="C317" s="4"/>
      <c r="D317" s="23"/>
      <c r="E317" s="15"/>
      <c r="F317" s="24" t="str">
        <f aca="false">IF(E317="","",IFERROR(INDEX('MA DVVC'!$B$4:$B$53,MATCH(E317,'MA DVVC'!$A$4:$A$53,0)),"Mã chưa có trong MA DVVC"))</f>
        <v/>
      </c>
      <c r="G317" s="12" t="str">
        <f aca="false">IF(B317="","",COUNTIF('BANG CAN'!$F$8:$F$1007,B317))</f>
        <v/>
      </c>
      <c r="H317" s="4"/>
    </row>
    <row r="318" customFormat="false" ht="15" hidden="false" customHeight="false" outlineLevel="0" collapsed="false">
      <c r="A318" s="12" t="str">
        <f aca="false">IF(B318="","",COUNTA($B$6:B318))</f>
        <v/>
      </c>
      <c r="B318" s="15"/>
      <c r="C318" s="4"/>
      <c r="D318" s="23"/>
      <c r="E318" s="15"/>
      <c r="F318" s="24" t="str">
        <f aca="false">IF(E318="","",IFERROR(INDEX('MA DVVC'!$B$4:$B$53,MATCH(E318,'MA DVVC'!$A$4:$A$53,0)),"Mã chưa có trong MA DVVC"))</f>
        <v/>
      </c>
      <c r="G318" s="12" t="str">
        <f aca="false">IF(B318="","",COUNTIF('BANG CAN'!$F$8:$F$1007,B318))</f>
        <v/>
      </c>
      <c r="H318" s="4"/>
    </row>
    <row r="319" customFormat="false" ht="15" hidden="false" customHeight="false" outlineLevel="0" collapsed="false">
      <c r="A319" s="12" t="str">
        <f aca="false">IF(B319="","",COUNTA($B$6:B319))</f>
        <v/>
      </c>
      <c r="B319" s="15"/>
      <c r="C319" s="4"/>
      <c r="D319" s="23"/>
      <c r="E319" s="15"/>
      <c r="F319" s="24" t="str">
        <f aca="false">IF(E319="","",IFERROR(INDEX('MA DVVC'!$B$4:$B$53,MATCH(E319,'MA DVVC'!$A$4:$A$53,0)),"Mã chưa có trong MA DVVC"))</f>
        <v/>
      </c>
      <c r="G319" s="12" t="str">
        <f aca="false">IF(B319="","",COUNTIF('BANG CAN'!$F$8:$F$1007,B319))</f>
        <v/>
      </c>
      <c r="H319" s="4"/>
    </row>
    <row r="320" customFormat="false" ht="15" hidden="false" customHeight="false" outlineLevel="0" collapsed="false">
      <c r="A320" s="12" t="str">
        <f aca="false">IF(B320="","",COUNTA($B$6:B320))</f>
        <v/>
      </c>
      <c r="B320" s="15"/>
      <c r="C320" s="4"/>
      <c r="D320" s="23"/>
      <c r="E320" s="15"/>
      <c r="F320" s="24" t="str">
        <f aca="false">IF(E320="","",IFERROR(INDEX('MA DVVC'!$B$4:$B$53,MATCH(E320,'MA DVVC'!$A$4:$A$53,0)),"Mã chưa có trong MA DVVC"))</f>
        <v/>
      </c>
      <c r="G320" s="12" t="str">
        <f aca="false">IF(B320="","",COUNTIF('BANG CAN'!$F$8:$F$1007,B320))</f>
        <v/>
      </c>
      <c r="H320" s="4"/>
    </row>
    <row r="321" customFormat="false" ht="15" hidden="false" customHeight="false" outlineLevel="0" collapsed="false">
      <c r="A321" s="12" t="str">
        <f aca="false">IF(B321="","",COUNTA($B$6:B321))</f>
        <v/>
      </c>
      <c r="B321" s="15"/>
      <c r="C321" s="4"/>
      <c r="D321" s="23"/>
      <c r="E321" s="15"/>
      <c r="F321" s="24" t="str">
        <f aca="false">IF(E321="","",IFERROR(INDEX('MA DVVC'!$B$4:$B$53,MATCH(E321,'MA DVVC'!$A$4:$A$53,0)),"Mã chưa có trong MA DVVC"))</f>
        <v/>
      </c>
      <c r="G321" s="12" t="str">
        <f aca="false">IF(B321="","",COUNTIF('BANG CAN'!$F$8:$F$1007,B321))</f>
        <v/>
      </c>
      <c r="H321" s="4"/>
    </row>
    <row r="322" customFormat="false" ht="15" hidden="false" customHeight="false" outlineLevel="0" collapsed="false">
      <c r="A322" s="12" t="str">
        <f aca="false">IF(B322="","",COUNTA($B$6:B322))</f>
        <v/>
      </c>
      <c r="B322" s="15"/>
      <c r="C322" s="4"/>
      <c r="D322" s="23"/>
      <c r="E322" s="15"/>
      <c r="F322" s="24" t="str">
        <f aca="false">IF(E322="","",IFERROR(INDEX('MA DVVC'!$B$4:$B$53,MATCH(E322,'MA DVVC'!$A$4:$A$53,0)),"Mã chưa có trong MA DVVC"))</f>
        <v/>
      </c>
      <c r="G322" s="12" t="str">
        <f aca="false">IF(B322="","",COUNTIF('BANG CAN'!$F$8:$F$1007,B322))</f>
        <v/>
      </c>
      <c r="H322" s="4"/>
    </row>
    <row r="323" customFormat="false" ht="15" hidden="false" customHeight="false" outlineLevel="0" collapsed="false">
      <c r="A323" s="12" t="str">
        <f aca="false">IF(B323="","",COUNTA($B$6:B323))</f>
        <v/>
      </c>
      <c r="B323" s="15"/>
      <c r="C323" s="4"/>
      <c r="D323" s="23"/>
      <c r="E323" s="15"/>
      <c r="F323" s="24" t="str">
        <f aca="false">IF(E323="","",IFERROR(INDEX('MA DVVC'!$B$4:$B$53,MATCH(E323,'MA DVVC'!$A$4:$A$53,0)),"Mã chưa có trong MA DVVC"))</f>
        <v/>
      </c>
      <c r="G323" s="12" t="str">
        <f aca="false">IF(B323="","",COUNTIF('BANG CAN'!$F$8:$F$1007,B323))</f>
        <v/>
      </c>
      <c r="H323" s="4"/>
    </row>
    <row r="324" customFormat="false" ht="15" hidden="false" customHeight="false" outlineLevel="0" collapsed="false">
      <c r="A324" s="12" t="str">
        <f aca="false">IF(B324="","",COUNTA($B$6:B324))</f>
        <v/>
      </c>
      <c r="B324" s="15"/>
      <c r="C324" s="4"/>
      <c r="D324" s="23"/>
      <c r="E324" s="15"/>
      <c r="F324" s="24" t="str">
        <f aca="false">IF(E324="","",IFERROR(INDEX('MA DVVC'!$B$4:$B$53,MATCH(E324,'MA DVVC'!$A$4:$A$53,0)),"Mã chưa có trong MA DVVC"))</f>
        <v/>
      </c>
      <c r="G324" s="12" t="str">
        <f aca="false">IF(B324="","",COUNTIF('BANG CAN'!$F$8:$F$1007,B324))</f>
        <v/>
      </c>
      <c r="H324" s="4"/>
    </row>
    <row r="325" customFormat="false" ht="15" hidden="false" customHeight="false" outlineLevel="0" collapsed="false">
      <c r="A325" s="12" t="str">
        <f aca="false">IF(B325="","",COUNTA($B$6:B325))</f>
        <v/>
      </c>
      <c r="B325" s="15"/>
      <c r="C325" s="4"/>
      <c r="D325" s="23"/>
      <c r="E325" s="15"/>
      <c r="F325" s="24" t="str">
        <f aca="false">IF(E325="","",IFERROR(INDEX('MA DVVC'!$B$4:$B$53,MATCH(E325,'MA DVVC'!$A$4:$A$53,0)),"Mã chưa có trong MA DVVC"))</f>
        <v/>
      </c>
      <c r="G325" s="12" t="str">
        <f aca="false">IF(B325="","",COUNTIF('BANG CAN'!$F$8:$F$1007,B325))</f>
        <v/>
      </c>
      <c r="H325" s="4"/>
    </row>
    <row r="326" customFormat="false" ht="15" hidden="false" customHeight="false" outlineLevel="0" collapsed="false">
      <c r="A326" s="12" t="str">
        <f aca="false">IF(B326="","",COUNTA($B$6:B326))</f>
        <v/>
      </c>
      <c r="B326" s="15"/>
      <c r="C326" s="4"/>
      <c r="D326" s="23"/>
      <c r="E326" s="15"/>
      <c r="F326" s="24" t="str">
        <f aca="false">IF(E326="","",IFERROR(INDEX('MA DVVC'!$B$4:$B$53,MATCH(E326,'MA DVVC'!$A$4:$A$53,0)),"Mã chưa có trong MA DVVC"))</f>
        <v/>
      </c>
      <c r="G326" s="12" t="str">
        <f aca="false">IF(B326="","",COUNTIF('BANG CAN'!$F$8:$F$1007,B326))</f>
        <v/>
      </c>
      <c r="H326" s="4"/>
    </row>
    <row r="327" customFormat="false" ht="15" hidden="false" customHeight="false" outlineLevel="0" collapsed="false">
      <c r="A327" s="12" t="str">
        <f aca="false">IF(B327="","",COUNTA($B$6:B327))</f>
        <v/>
      </c>
      <c r="B327" s="15"/>
      <c r="C327" s="4"/>
      <c r="D327" s="23"/>
      <c r="E327" s="15"/>
      <c r="F327" s="24" t="str">
        <f aca="false">IF(E327="","",IFERROR(INDEX('MA DVVC'!$B$4:$B$53,MATCH(E327,'MA DVVC'!$A$4:$A$53,0)),"Mã chưa có trong MA DVVC"))</f>
        <v/>
      </c>
      <c r="G327" s="12" t="str">
        <f aca="false">IF(B327="","",COUNTIF('BANG CAN'!$F$8:$F$1007,B327))</f>
        <v/>
      </c>
      <c r="H327" s="4"/>
    </row>
    <row r="328" customFormat="false" ht="15" hidden="false" customHeight="false" outlineLevel="0" collapsed="false">
      <c r="A328" s="12" t="str">
        <f aca="false">IF(B328="","",COUNTA($B$6:B328))</f>
        <v/>
      </c>
      <c r="B328" s="15"/>
      <c r="C328" s="4"/>
      <c r="D328" s="23"/>
      <c r="E328" s="15"/>
      <c r="F328" s="24" t="str">
        <f aca="false">IF(E328="","",IFERROR(INDEX('MA DVVC'!$B$4:$B$53,MATCH(E328,'MA DVVC'!$A$4:$A$53,0)),"Mã chưa có trong MA DVVC"))</f>
        <v/>
      </c>
      <c r="G328" s="12" t="str">
        <f aca="false">IF(B328="","",COUNTIF('BANG CAN'!$F$8:$F$1007,B328))</f>
        <v/>
      </c>
      <c r="H328" s="4"/>
    </row>
    <row r="329" customFormat="false" ht="15" hidden="false" customHeight="false" outlineLevel="0" collapsed="false">
      <c r="A329" s="12" t="str">
        <f aca="false">IF(B329="","",COUNTA($B$6:B329))</f>
        <v/>
      </c>
      <c r="B329" s="15"/>
      <c r="C329" s="4"/>
      <c r="D329" s="23"/>
      <c r="E329" s="15"/>
      <c r="F329" s="24" t="str">
        <f aca="false">IF(E329="","",IFERROR(INDEX('MA DVVC'!$B$4:$B$53,MATCH(E329,'MA DVVC'!$A$4:$A$53,0)),"Mã chưa có trong MA DVVC"))</f>
        <v/>
      </c>
      <c r="G329" s="12" t="str">
        <f aca="false">IF(B329="","",COUNTIF('BANG CAN'!$F$8:$F$1007,B329))</f>
        <v/>
      </c>
      <c r="H329" s="4"/>
    </row>
    <row r="330" customFormat="false" ht="15" hidden="false" customHeight="false" outlineLevel="0" collapsed="false">
      <c r="A330" s="12" t="str">
        <f aca="false">IF(B330="","",COUNTA($B$6:B330))</f>
        <v/>
      </c>
      <c r="B330" s="15"/>
      <c r="C330" s="4"/>
      <c r="D330" s="23"/>
      <c r="E330" s="15"/>
      <c r="F330" s="24" t="str">
        <f aca="false">IF(E330="","",IFERROR(INDEX('MA DVVC'!$B$4:$B$53,MATCH(E330,'MA DVVC'!$A$4:$A$53,0)),"Mã chưa có trong MA DVVC"))</f>
        <v/>
      </c>
      <c r="G330" s="12" t="str">
        <f aca="false">IF(B330="","",COUNTIF('BANG CAN'!$F$8:$F$1007,B330))</f>
        <v/>
      </c>
      <c r="H330" s="4"/>
    </row>
    <row r="331" customFormat="false" ht="15" hidden="false" customHeight="false" outlineLevel="0" collapsed="false">
      <c r="A331" s="12" t="str">
        <f aca="false">IF(B331="","",COUNTA($B$6:B331))</f>
        <v/>
      </c>
      <c r="B331" s="15"/>
      <c r="C331" s="4"/>
      <c r="D331" s="23"/>
      <c r="E331" s="15"/>
      <c r="F331" s="24" t="str">
        <f aca="false">IF(E331="","",IFERROR(INDEX('MA DVVC'!$B$4:$B$53,MATCH(E331,'MA DVVC'!$A$4:$A$53,0)),"Mã chưa có trong MA DVVC"))</f>
        <v/>
      </c>
      <c r="G331" s="12" t="str">
        <f aca="false">IF(B331="","",COUNTIF('BANG CAN'!$F$8:$F$1007,B331))</f>
        <v/>
      </c>
      <c r="H331" s="4"/>
    </row>
    <row r="332" customFormat="false" ht="15" hidden="false" customHeight="false" outlineLevel="0" collapsed="false">
      <c r="A332" s="12" t="str">
        <f aca="false">IF(B332="","",COUNTA($B$6:B332))</f>
        <v/>
      </c>
      <c r="B332" s="15"/>
      <c r="C332" s="4"/>
      <c r="D332" s="23"/>
      <c r="E332" s="15"/>
      <c r="F332" s="24" t="str">
        <f aca="false">IF(E332="","",IFERROR(INDEX('MA DVVC'!$B$4:$B$53,MATCH(E332,'MA DVVC'!$A$4:$A$53,0)),"Mã chưa có trong MA DVVC"))</f>
        <v/>
      </c>
      <c r="G332" s="12" t="str">
        <f aca="false">IF(B332="","",COUNTIF('BANG CAN'!$F$8:$F$1007,B332))</f>
        <v/>
      </c>
      <c r="H332" s="4"/>
    </row>
    <row r="333" customFormat="false" ht="15" hidden="false" customHeight="false" outlineLevel="0" collapsed="false">
      <c r="A333" s="12" t="str">
        <f aca="false">IF(B333="","",COUNTA($B$6:B333))</f>
        <v/>
      </c>
      <c r="B333" s="15"/>
      <c r="C333" s="4"/>
      <c r="D333" s="23"/>
      <c r="E333" s="15"/>
      <c r="F333" s="24" t="str">
        <f aca="false">IF(E333="","",IFERROR(INDEX('MA DVVC'!$B$4:$B$53,MATCH(E333,'MA DVVC'!$A$4:$A$53,0)),"Mã chưa có trong MA DVVC"))</f>
        <v/>
      </c>
      <c r="G333" s="12" t="str">
        <f aca="false">IF(B333="","",COUNTIF('BANG CAN'!$F$8:$F$1007,B333))</f>
        <v/>
      </c>
      <c r="H333" s="4"/>
    </row>
    <row r="334" customFormat="false" ht="15" hidden="false" customHeight="false" outlineLevel="0" collapsed="false">
      <c r="A334" s="12" t="str">
        <f aca="false">IF(B334="","",COUNTA($B$6:B334))</f>
        <v/>
      </c>
      <c r="B334" s="15"/>
      <c r="C334" s="4"/>
      <c r="D334" s="23"/>
      <c r="E334" s="15"/>
      <c r="F334" s="24" t="str">
        <f aca="false">IF(E334="","",IFERROR(INDEX('MA DVVC'!$B$4:$B$53,MATCH(E334,'MA DVVC'!$A$4:$A$53,0)),"Mã chưa có trong MA DVVC"))</f>
        <v/>
      </c>
      <c r="G334" s="12" t="str">
        <f aca="false">IF(B334="","",COUNTIF('BANG CAN'!$F$8:$F$1007,B334))</f>
        <v/>
      </c>
      <c r="H334" s="4"/>
    </row>
    <row r="335" customFormat="false" ht="15" hidden="false" customHeight="false" outlineLevel="0" collapsed="false">
      <c r="A335" s="12" t="str">
        <f aca="false">IF(B335="","",COUNTA($B$6:B335))</f>
        <v/>
      </c>
      <c r="B335" s="15"/>
      <c r="C335" s="4"/>
      <c r="D335" s="23"/>
      <c r="E335" s="15"/>
      <c r="F335" s="24" t="str">
        <f aca="false">IF(E335="","",IFERROR(INDEX('MA DVVC'!$B$4:$B$53,MATCH(E335,'MA DVVC'!$A$4:$A$53,0)),"Mã chưa có trong MA DVVC"))</f>
        <v/>
      </c>
      <c r="G335" s="12" t="str">
        <f aca="false">IF(B335="","",COUNTIF('BANG CAN'!$F$8:$F$1007,B335))</f>
        <v/>
      </c>
      <c r="H335" s="4"/>
    </row>
    <row r="336" customFormat="false" ht="15" hidden="false" customHeight="false" outlineLevel="0" collapsed="false">
      <c r="A336" s="12" t="str">
        <f aca="false">IF(B336="","",COUNTA($B$6:B336))</f>
        <v/>
      </c>
      <c r="B336" s="15"/>
      <c r="C336" s="4"/>
      <c r="D336" s="23"/>
      <c r="E336" s="15"/>
      <c r="F336" s="24" t="str">
        <f aca="false">IF(E336="","",IFERROR(INDEX('MA DVVC'!$B$4:$B$53,MATCH(E336,'MA DVVC'!$A$4:$A$53,0)),"Mã chưa có trong MA DVVC"))</f>
        <v/>
      </c>
      <c r="G336" s="12" t="str">
        <f aca="false">IF(B336="","",COUNTIF('BANG CAN'!$F$8:$F$1007,B336))</f>
        <v/>
      </c>
      <c r="H336" s="4"/>
    </row>
    <row r="337" customFormat="false" ht="15" hidden="false" customHeight="false" outlineLevel="0" collapsed="false">
      <c r="A337" s="12" t="str">
        <f aca="false">IF(B337="","",COUNTA($B$6:B337))</f>
        <v/>
      </c>
      <c r="B337" s="15"/>
      <c r="C337" s="4"/>
      <c r="D337" s="23"/>
      <c r="E337" s="15"/>
      <c r="F337" s="24" t="str">
        <f aca="false">IF(E337="","",IFERROR(INDEX('MA DVVC'!$B$4:$B$53,MATCH(E337,'MA DVVC'!$A$4:$A$53,0)),"Mã chưa có trong MA DVVC"))</f>
        <v/>
      </c>
      <c r="G337" s="12" t="str">
        <f aca="false">IF(B337="","",COUNTIF('BANG CAN'!$F$8:$F$1007,B337))</f>
        <v/>
      </c>
      <c r="H337" s="4"/>
    </row>
    <row r="338" customFormat="false" ht="15" hidden="false" customHeight="false" outlineLevel="0" collapsed="false">
      <c r="A338" s="12" t="str">
        <f aca="false">IF(B338="","",COUNTA($B$6:B338))</f>
        <v/>
      </c>
      <c r="B338" s="15"/>
      <c r="C338" s="4"/>
      <c r="D338" s="23"/>
      <c r="E338" s="15"/>
      <c r="F338" s="24" t="str">
        <f aca="false">IF(E338="","",IFERROR(INDEX('MA DVVC'!$B$4:$B$53,MATCH(E338,'MA DVVC'!$A$4:$A$53,0)),"Mã chưa có trong MA DVVC"))</f>
        <v/>
      </c>
      <c r="G338" s="12" t="str">
        <f aca="false">IF(B338="","",COUNTIF('BANG CAN'!$F$8:$F$1007,B338))</f>
        <v/>
      </c>
      <c r="H338" s="4"/>
    </row>
    <row r="339" customFormat="false" ht="15" hidden="false" customHeight="false" outlineLevel="0" collapsed="false">
      <c r="A339" s="12" t="str">
        <f aca="false">IF(B339="","",COUNTA($B$6:B339))</f>
        <v/>
      </c>
      <c r="B339" s="15"/>
      <c r="C339" s="4"/>
      <c r="D339" s="23"/>
      <c r="E339" s="15"/>
      <c r="F339" s="24" t="str">
        <f aca="false">IF(E339="","",IFERROR(INDEX('MA DVVC'!$B$4:$B$53,MATCH(E339,'MA DVVC'!$A$4:$A$53,0)),"Mã chưa có trong MA DVVC"))</f>
        <v/>
      </c>
      <c r="G339" s="12" t="str">
        <f aca="false">IF(B339="","",COUNTIF('BANG CAN'!$F$8:$F$1007,B339))</f>
        <v/>
      </c>
      <c r="H339" s="4"/>
    </row>
    <row r="340" customFormat="false" ht="15" hidden="false" customHeight="false" outlineLevel="0" collapsed="false">
      <c r="A340" s="12" t="str">
        <f aca="false">IF(B340="","",COUNTA($B$6:B340))</f>
        <v/>
      </c>
      <c r="B340" s="15"/>
      <c r="C340" s="4"/>
      <c r="D340" s="23"/>
      <c r="E340" s="15"/>
      <c r="F340" s="24" t="str">
        <f aca="false">IF(E340="","",IFERROR(INDEX('MA DVVC'!$B$4:$B$53,MATCH(E340,'MA DVVC'!$A$4:$A$53,0)),"Mã chưa có trong MA DVVC"))</f>
        <v/>
      </c>
      <c r="G340" s="12" t="str">
        <f aca="false">IF(B340="","",COUNTIF('BANG CAN'!$F$8:$F$1007,B340))</f>
        <v/>
      </c>
      <c r="H340" s="4"/>
    </row>
    <row r="341" customFormat="false" ht="15" hidden="false" customHeight="false" outlineLevel="0" collapsed="false">
      <c r="A341" s="12" t="str">
        <f aca="false">IF(B341="","",COUNTA($B$6:B341))</f>
        <v/>
      </c>
      <c r="B341" s="15"/>
      <c r="C341" s="4"/>
      <c r="D341" s="23"/>
      <c r="E341" s="15"/>
      <c r="F341" s="24" t="str">
        <f aca="false">IF(E341="","",IFERROR(INDEX('MA DVVC'!$B$4:$B$53,MATCH(E341,'MA DVVC'!$A$4:$A$53,0)),"Mã chưa có trong MA DVVC"))</f>
        <v/>
      </c>
      <c r="G341" s="12" t="str">
        <f aca="false">IF(B341="","",COUNTIF('BANG CAN'!$F$8:$F$1007,B341))</f>
        <v/>
      </c>
      <c r="H341" s="4"/>
    </row>
    <row r="342" customFormat="false" ht="15" hidden="false" customHeight="false" outlineLevel="0" collapsed="false">
      <c r="A342" s="12" t="str">
        <f aca="false">IF(B342="","",COUNTA($B$6:B342))</f>
        <v/>
      </c>
      <c r="B342" s="15"/>
      <c r="C342" s="4"/>
      <c r="D342" s="23"/>
      <c r="E342" s="15"/>
      <c r="F342" s="24" t="str">
        <f aca="false">IF(E342="","",IFERROR(INDEX('MA DVVC'!$B$4:$B$53,MATCH(E342,'MA DVVC'!$A$4:$A$53,0)),"Mã chưa có trong MA DVVC"))</f>
        <v/>
      </c>
      <c r="G342" s="12" t="str">
        <f aca="false">IF(B342="","",COUNTIF('BANG CAN'!$F$8:$F$1007,B342))</f>
        <v/>
      </c>
      <c r="H342" s="4"/>
    </row>
    <row r="343" customFormat="false" ht="15" hidden="false" customHeight="false" outlineLevel="0" collapsed="false">
      <c r="A343" s="12" t="str">
        <f aca="false">IF(B343="","",COUNTA($B$6:B343))</f>
        <v/>
      </c>
      <c r="B343" s="15"/>
      <c r="C343" s="4"/>
      <c r="D343" s="23"/>
      <c r="E343" s="15"/>
      <c r="F343" s="24" t="str">
        <f aca="false">IF(E343="","",IFERROR(INDEX('MA DVVC'!$B$4:$B$53,MATCH(E343,'MA DVVC'!$A$4:$A$53,0)),"Mã chưa có trong MA DVVC"))</f>
        <v/>
      </c>
      <c r="G343" s="12" t="str">
        <f aca="false">IF(B343="","",COUNTIF('BANG CAN'!$F$8:$F$1007,B343))</f>
        <v/>
      </c>
      <c r="H343" s="4"/>
    </row>
    <row r="344" customFormat="false" ht="15" hidden="false" customHeight="false" outlineLevel="0" collapsed="false">
      <c r="A344" s="12" t="str">
        <f aca="false">IF(B344="","",COUNTA($B$6:B344))</f>
        <v/>
      </c>
      <c r="B344" s="15"/>
      <c r="C344" s="4"/>
      <c r="D344" s="23"/>
      <c r="E344" s="15"/>
      <c r="F344" s="24" t="str">
        <f aca="false">IF(E344="","",IFERROR(INDEX('MA DVVC'!$B$4:$B$53,MATCH(E344,'MA DVVC'!$A$4:$A$53,0)),"Mã chưa có trong MA DVVC"))</f>
        <v/>
      </c>
      <c r="G344" s="12" t="str">
        <f aca="false">IF(B344="","",COUNTIF('BANG CAN'!$F$8:$F$1007,B344))</f>
        <v/>
      </c>
      <c r="H344" s="4"/>
    </row>
    <row r="345" customFormat="false" ht="15" hidden="false" customHeight="false" outlineLevel="0" collapsed="false">
      <c r="A345" s="12" t="str">
        <f aca="false">IF(B345="","",COUNTA($B$6:B345))</f>
        <v/>
      </c>
      <c r="B345" s="15"/>
      <c r="C345" s="4"/>
      <c r="D345" s="23"/>
      <c r="E345" s="15"/>
      <c r="F345" s="24" t="str">
        <f aca="false">IF(E345="","",IFERROR(INDEX('MA DVVC'!$B$4:$B$53,MATCH(E345,'MA DVVC'!$A$4:$A$53,0)),"Mã chưa có trong MA DVVC"))</f>
        <v/>
      </c>
      <c r="G345" s="12" t="str">
        <f aca="false">IF(B345="","",COUNTIF('BANG CAN'!$F$8:$F$1007,B345))</f>
        <v/>
      </c>
      <c r="H345" s="4"/>
    </row>
    <row r="346" customFormat="false" ht="15" hidden="false" customHeight="false" outlineLevel="0" collapsed="false">
      <c r="A346" s="12" t="str">
        <f aca="false">IF(B346="","",COUNTA($B$6:B346))</f>
        <v/>
      </c>
      <c r="B346" s="15"/>
      <c r="C346" s="4"/>
      <c r="D346" s="23"/>
      <c r="E346" s="15"/>
      <c r="F346" s="24" t="str">
        <f aca="false">IF(E346="","",IFERROR(INDEX('MA DVVC'!$B$4:$B$53,MATCH(E346,'MA DVVC'!$A$4:$A$53,0)),"Mã chưa có trong MA DVVC"))</f>
        <v/>
      </c>
      <c r="G346" s="12" t="str">
        <f aca="false">IF(B346="","",COUNTIF('BANG CAN'!$F$8:$F$1007,B346))</f>
        <v/>
      </c>
      <c r="H346" s="4"/>
    </row>
    <row r="347" customFormat="false" ht="15" hidden="false" customHeight="false" outlineLevel="0" collapsed="false">
      <c r="A347" s="12" t="str">
        <f aca="false">IF(B347="","",COUNTA($B$6:B347))</f>
        <v/>
      </c>
      <c r="B347" s="15"/>
      <c r="C347" s="4"/>
      <c r="D347" s="23"/>
      <c r="E347" s="15"/>
      <c r="F347" s="24" t="str">
        <f aca="false">IF(E347="","",IFERROR(INDEX('MA DVVC'!$B$4:$B$53,MATCH(E347,'MA DVVC'!$A$4:$A$53,0)),"Mã chưa có trong MA DVVC"))</f>
        <v/>
      </c>
      <c r="G347" s="12" t="str">
        <f aca="false">IF(B347="","",COUNTIF('BANG CAN'!$F$8:$F$1007,B347))</f>
        <v/>
      </c>
      <c r="H347" s="4"/>
    </row>
    <row r="348" customFormat="false" ht="15" hidden="false" customHeight="false" outlineLevel="0" collapsed="false">
      <c r="A348" s="12" t="str">
        <f aca="false">IF(B348="","",COUNTA($B$6:B348))</f>
        <v/>
      </c>
      <c r="B348" s="15"/>
      <c r="C348" s="4"/>
      <c r="D348" s="23"/>
      <c r="E348" s="15"/>
      <c r="F348" s="24" t="str">
        <f aca="false">IF(E348="","",IFERROR(INDEX('MA DVVC'!$B$4:$B$53,MATCH(E348,'MA DVVC'!$A$4:$A$53,0)),"Mã chưa có trong MA DVVC"))</f>
        <v/>
      </c>
      <c r="G348" s="12" t="str">
        <f aca="false">IF(B348="","",COUNTIF('BANG CAN'!$F$8:$F$1007,B348))</f>
        <v/>
      </c>
      <c r="H348" s="4"/>
    </row>
    <row r="349" customFormat="false" ht="15" hidden="false" customHeight="false" outlineLevel="0" collapsed="false">
      <c r="A349" s="12" t="str">
        <f aca="false">IF(B349="","",COUNTA($B$6:B349))</f>
        <v/>
      </c>
      <c r="B349" s="15"/>
      <c r="C349" s="4"/>
      <c r="D349" s="23"/>
      <c r="E349" s="15"/>
      <c r="F349" s="24" t="str">
        <f aca="false">IF(E349="","",IFERROR(INDEX('MA DVVC'!$B$4:$B$53,MATCH(E349,'MA DVVC'!$A$4:$A$53,0)),"Mã chưa có trong MA DVVC"))</f>
        <v/>
      </c>
      <c r="G349" s="12" t="str">
        <f aca="false">IF(B349="","",COUNTIF('BANG CAN'!$F$8:$F$1007,B349))</f>
        <v/>
      </c>
      <c r="H349" s="4"/>
    </row>
    <row r="350" customFormat="false" ht="15" hidden="false" customHeight="false" outlineLevel="0" collapsed="false">
      <c r="A350" s="12" t="str">
        <f aca="false">IF(B350="","",COUNTA($B$6:B350))</f>
        <v/>
      </c>
      <c r="B350" s="15"/>
      <c r="C350" s="4"/>
      <c r="D350" s="23"/>
      <c r="E350" s="15"/>
      <c r="F350" s="24" t="str">
        <f aca="false">IF(E350="","",IFERROR(INDEX('MA DVVC'!$B$4:$B$53,MATCH(E350,'MA DVVC'!$A$4:$A$53,0)),"Mã chưa có trong MA DVVC"))</f>
        <v/>
      </c>
      <c r="G350" s="12" t="str">
        <f aca="false">IF(B350="","",COUNTIF('BANG CAN'!$F$8:$F$1007,B350))</f>
        <v/>
      </c>
      <c r="H350" s="4"/>
    </row>
    <row r="351" customFormat="false" ht="15" hidden="false" customHeight="false" outlineLevel="0" collapsed="false">
      <c r="A351" s="12" t="str">
        <f aca="false">IF(B351="","",COUNTA($B$6:B351))</f>
        <v/>
      </c>
      <c r="B351" s="15"/>
      <c r="C351" s="4"/>
      <c r="D351" s="23"/>
      <c r="E351" s="15"/>
      <c r="F351" s="24" t="str">
        <f aca="false">IF(E351="","",IFERROR(INDEX('MA DVVC'!$B$4:$B$53,MATCH(E351,'MA DVVC'!$A$4:$A$53,0)),"Mã chưa có trong MA DVVC"))</f>
        <v/>
      </c>
      <c r="G351" s="12" t="str">
        <f aca="false">IF(B351="","",COUNTIF('BANG CAN'!$F$8:$F$1007,B351))</f>
        <v/>
      </c>
      <c r="H351" s="4"/>
    </row>
    <row r="352" customFormat="false" ht="15" hidden="false" customHeight="false" outlineLevel="0" collapsed="false">
      <c r="A352" s="12" t="str">
        <f aca="false">IF(B352="","",COUNTA($B$6:B352))</f>
        <v/>
      </c>
      <c r="B352" s="15"/>
      <c r="C352" s="4"/>
      <c r="D352" s="23"/>
      <c r="E352" s="15"/>
      <c r="F352" s="24" t="str">
        <f aca="false">IF(E352="","",IFERROR(INDEX('MA DVVC'!$B$4:$B$53,MATCH(E352,'MA DVVC'!$A$4:$A$53,0)),"Mã chưa có trong MA DVVC"))</f>
        <v/>
      </c>
      <c r="G352" s="12" t="str">
        <f aca="false">IF(B352="","",COUNTIF('BANG CAN'!$F$8:$F$1007,B352))</f>
        <v/>
      </c>
      <c r="H352" s="4"/>
    </row>
    <row r="353" customFormat="false" ht="15" hidden="false" customHeight="false" outlineLevel="0" collapsed="false">
      <c r="A353" s="12" t="str">
        <f aca="false">IF(B353="","",COUNTA($B$6:B353))</f>
        <v/>
      </c>
      <c r="B353" s="15"/>
      <c r="C353" s="4"/>
      <c r="D353" s="23"/>
      <c r="E353" s="15"/>
      <c r="F353" s="24" t="str">
        <f aca="false">IF(E353="","",IFERROR(INDEX('MA DVVC'!$B$4:$B$53,MATCH(E353,'MA DVVC'!$A$4:$A$53,0)),"Mã chưa có trong MA DVVC"))</f>
        <v/>
      </c>
      <c r="G353" s="12" t="str">
        <f aca="false">IF(B353="","",COUNTIF('BANG CAN'!$F$8:$F$1007,B353))</f>
        <v/>
      </c>
      <c r="H353" s="4"/>
    </row>
    <row r="354" customFormat="false" ht="15" hidden="false" customHeight="false" outlineLevel="0" collapsed="false">
      <c r="A354" s="12" t="str">
        <f aca="false">IF(B354="","",COUNTA($B$6:B354))</f>
        <v/>
      </c>
      <c r="B354" s="15"/>
      <c r="C354" s="4"/>
      <c r="D354" s="23"/>
      <c r="E354" s="15"/>
      <c r="F354" s="24" t="str">
        <f aca="false">IF(E354="","",IFERROR(INDEX('MA DVVC'!$B$4:$B$53,MATCH(E354,'MA DVVC'!$A$4:$A$53,0)),"Mã chưa có trong MA DVVC"))</f>
        <v/>
      </c>
      <c r="G354" s="12" t="str">
        <f aca="false">IF(B354="","",COUNTIF('BANG CAN'!$F$8:$F$1007,B354))</f>
        <v/>
      </c>
      <c r="H354" s="4"/>
    </row>
    <row r="355" customFormat="false" ht="15" hidden="false" customHeight="false" outlineLevel="0" collapsed="false">
      <c r="A355" s="12" t="str">
        <f aca="false">IF(B355="","",COUNTA($B$6:B355))</f>
        <v/>
      </c>
      <c r="B355" s="15"/>
      <c r="C355" s="4"/>
      <c r="D355" s="23"/>
      <c r="E355" s="15"/>
      <c r="F355" s="24" t="str">
        <f aca="false">IF(E355="","",IFERROR(INDEX('MA DVVC'!$B$4:$B$53,MATCH(E355,'MA DVVC'!$A$4:$A$53,0)),"Mã chưa có trong MA DVVC"))</f>
        <v/>
      </c>
      <c r="G355" s="12" t="str">
        <f aca="false">IF(B355="","",COUNTIF('BANG CAN'!$F$8:$F$1007,B355))</f>
        <v/>
      </c>
      <c r="H355" s="4"/>
    </row>
    <row r="356" customFormat="false" ht="15" hidden="false" customHeight="false" outlineLevel="0" collapsed="false">
      <c r="A356" s="12" t="str">
        <f aca="false">IF(B356="","",COUNTA($B$6:B356))</f>
        <v/>
      </c>
      <c r="B356" s="15"/>
      <c r="C356" s="4"/>
      <c r="D356" s="23"/>
      <c r="E356" s="15"/>
      <c r="F356" s="24" t="str">
        <f aca="false">IF(E356="","",IFERROR(INDEX('MA DVVC'!$B$4:$B$53,MATCH(E356,'MA DVVC'!$A$4:$A$53,0)),"Mã chưa có trong MA DVVC"))</f>
        <v/>
      </c>
      <c r="G356" s="12" t="str">
        <f aca="false">IF(B356="","",COUNTIF('BANG CAN'!$F$8:$F$1007,B356))</f>
        <v/>
      </c>
      <c r="H356" s="4"/>
    </row>
    <row r="357" customFormat="false" ht="15" hidden="false" customHeight="false" outlineLevel="0" collapsed="false">
      <c r="A357" s="12" t="str">
        <f aca="false">IF(B357="","",COUNTA($B$6:B357))</f>
        <v/>
      </c>
      <c r="B357" s="15"/>
      <c r="C357" s="4"/>
      <c r="D357" s="23"/>
      <c r="E357" s="15"/>
      <c r="F357" s="24" t="str">
        <f aca="false">IF(E357="","",IFERROR(INDEX('MA DVVC'!$B$4:$B$53,MATCH(E357,'MA DVVC'!$A$4:$A$53,0)),"Mã chưa có trong MA DVVC"))</f>
        <v/>
      </c>
      <c r="G357" s="12" t="str">
        <f aca="false">IF(B357="","",COUNTIF('BANG CAN'!$F$8:$F$1007,B357))</f>
        <v/>
      </c>
      <c r="H357" s="4"/>
    </row>
    <row r="358" customFormat="false" ht="15" hidden="false" customHeight="false" outlineLevel="0" collapsed="false">
      <c r="A358" s="12" t="str">
        <f aca="false">IF(B358="","",COUNTA($B$6:B358))</f>
        <v/>
      </c>
      <c r="B358" s="15"/>
      <c r="C358" s="4"/>
      <c r="D358" s="23"/>
      <c r="E358" s="15"/>
      <c r="F358" s="24" t="str">
        <f aca="false">IF(E358="","",IFERROR(INDEX('MA DVVC'!$B$4:$B$53,MATCH(E358,'MA DVVC'!$A$4:$A$53,0)),"Mã chưa có trong MA DVVC"))</f>
        <v/>
      </c>
      <c r="G358" s="12" t="str">
        <f aca="false">IF(B358="","",COUNTIF('BANG CAN'!$F$8:$F$1007,B358))</f>
        <v/>
      </c>
      <c r="H358" s="4"/>
    </row>
    <row r="359" customFormat="false" ht="15" hidden="false" customHeight="false" outlineLevel="0" collapsed="false">
      <c r="A359" s="12" t="str">
        <f aca="false">IF(B359="","",COUNTA($B$6:B359))</f>
        <v/>
      </c>
      <c r="B359" s="15"/>
      <c r="C359" s="4"/>
      <c r="D359" s="23"/>
      <c r="E359" s="15"/>
      <c r="F359" s="24" t="str">
        <f aca="false">IF(E359="","",IFERROR(INDEX('MA DVVC'!$B$4:$B$53,MATCH(E359,'MA DVVC'!$A$4:$A$53,0)),"Mã chưa có trong MA DVVC"))</f>
        <v/>
      </c>
      <c r="G359" s="12" t="str">
        <f aca="false">IF(B359="","",COUNTIF('BANG CAN'!$F$8:$F$1007,B359))</f>
        <v/>
      </c>
      <c r="H359" s="4"/>
    </row>
    <row r="360" customFormat="false" ht="15" hidden="false" customHeight="false" outlineLevel="0" collapsed="false">
      <c r="A360" s="12" t="str">
        <f aca="false">IF(B360="","",COUNTA($B$6:B360))</f>
        <v/>
      </c>
      <c r="B360" s="15"/>
      <c r="C360" s="4"/>
      <c r="D360" s="23"/>
      <c r="E360" s="15"/>
      <c r="F360" s="24" t="str">
        <f aca="false">IF(E360="","",IFERROR(INDEX('MA DVVC'!$B$4:$B$53,MATCH(E360,'MA DVVC'!$A$4:$A$53,0)),"Mã chưa có trong MA DVVC"))</f>
        <v/>
      </c>
      <c r="G360" s="12" t="str">
        <f aca="false">IF(B360="","",COUNTIF('BANG CAN'!$F$8:$F$1007,B360))</f>
        <v/>
      </c>
      <c r="H360" s="4"/>
    </row>
    <row r="361" customFormat="false" ht="15" hidden="false" customHeight="false" outlineLevel="0" collapsed="false">
      <c r="A361" s="12" t="str">
        <f aca="false">IF(B361="","",COUNTA($B$6:B361))</f>
        <v/>
      </c>
      <c r="B361" s="15"/>
      <c r="C361" s="4"/>
      <c r="D361" s="23"/>
      <c r="E361" s="15"/>
      <c r="F361" s="24" t="str">
        <f aca="false">IF(E361="","",IFERROR(INDEX('MA DVVC'!$B$4:$B$53,MATCH(E361,'MA DVVC'!$A$4:$A$53,0)),"Mã chưa có trong MA DVVC"))</f>
        <v/>
      </c>
      <c r="G361" s="12" t="str">
        <f aca="false">IF(B361="","",COUNTIF('BANG CAN'!$F$8:$F$1007,B361))</f>
        <v/>
      </c>
      <c r="H361" s="4"/>
    </row>
    <row r="362" customFormat="false" ht="15" hidden="false" customHeight="false" outlineLevel="0" collapsed="false">
      <c r="A362" s="12" t="str">
        <f aca="false">IF(B362="","",COUNTA($B$6:B362))</f>
        <v/>
      </c>
      <c r="B362" s="15"/>
      <c r="C362" s="4"/>
      <c r="D362" s="23"/>
      <c r="E362" s="15"/>
      <c r="F362" s="24" t="str">
        <f aca="false">IF(E362="","",IFERROR(INDEX('MA DVVC'!$B$4:$B$53,MATCH(E362,'MA DVVC'!$A$4:$A$53,0)),"Mã chưa có trong MA DVVC"))</f>
        <v/>
      </c>
      <c r="G362" s="12" t="str">
        <f aca="false">IF(B362="","",COUNTIF('BANG CAN'!$F$8:$F$1007,B362))</f>
        <v/>
      </c>
      <c r="H362" s="4"/>
    </row>
    <row r="363" customFormat="false" ht="15" hidden="false" customHeight="false" outlineLevel="0" collapsed="false">
      <c r="A363" s="12" t="str">
        <f aca="false">IF(B363="","",COUNTA($B$6:B363))</f>
        <v/>
      </c>
      <c r="B363" s="15"/>
      <c r="C363" s="4"/>
      <c r="D363" s="23"/>
      <c r="E363" s="15"/>
      <c r="F363" s="24" t="str">
        <f aca="false">IF(E363="","",IFERROR(INDEX('MA DVVC'!$B$4:$B$53,MATCH(E363,'MA DVVC'!$A$4:$A$53,0)),"Mã chưa có trong MA DVVC"))</f>
        <v/>
      </c>
      <c r="G363" s="12" t="str">
        <f aca="false">IF(B363="","",COUNTIF('BANG CAN'!$F$8:$F$1007,B363))</f>
        <v/>
      </c>
      <c r="H363" s="4"/>
    </row>
    <row r="364" customFormat="false" ht="15" hidden="false" customHeight="false" outlineLevel="0" collapsed="false">
      <c r="A364" s="12" t="str">
        <f aca="false">IF(B364="","",COUNTA($B$6:B364))</f>
        <v/>
      </c>
      <c r="B364" s="15"/>
      <c r="C364" s="4"/>
      <c r="D364" s="23"/>
      <c r="E364" s="15"/>
      <c r="F364" s="24" t="str">
        <f aca="false">IF(E364="","",IFERROR(INDEX('MA DVVC'!$B$4:$B$53,MATCH(E364,'MA DVVC'!$A$4:$A$53,0)),"Mã chưa có trong MA DVVC"))</f>
        <v/>
      </c>
      <c r="G364" s="12" t="str">
        <f aca="false">IF(B364="","",COUNTIF('BANG CAN'!$F$8:$F$1007,B364))</f>
        <v/>
      </c>
      <c r="H364" s="4"/>
    </row>
    <row r="365" customFormat="false" ht="15" hidden="false" customHeight="false" outlineLevel="0" collapsed="false">
      <c r="A365" s="12" t="str">
        <f aca="false">IF(B365="","",COUNTA($B$6:B365))</f>
        <v/>
      </c>
      <c r="B365" s="15"/>
      <c r="C365" s="4"/>
      <c r="D365" s="23"/>
      <c r="E365" s="15"/>
      <c r="F365" s="24" t="str">
        <f aca="false">IF(E365="","",IFERROR(INDEX('MA DVVC'!$B$4:$B$53,MATCH(E365,'MA DVVC'!$A$4:$A$53,0)),"Mã chưa có trong MA DVVC"))</f>
        <v/>
      </c>
      <c r="G365" s="12" t="str">
        <f aca="false">IF(B365="","",COUNTIF('BANG CAN'!$F$8:$F$1007,B365))</f>
        <v/>
      </c>
      <c r="H365" s="4"/>
    </row>
    <row r="366" customFormat="false" ht="15" hidden="false" customHeight="false" outlineLevel="0" collapsed="false">
      <c r="A366" s="12" t="str">
        <f aca="false">IF(B366="","",COUNTA($B$6:B366))</f>
        <v/>
      </c>
      <c r="B366" s="15"/>
      <c r="C366" s="4"/>
      <c r="D366" s="23"/>
      <c r="E366" s="15"/>
      <c r="F366" s="24" t="str">
        <f aca="false">IF(E366="","",IFERROR(INDEX('MA DVVC'!$B$4:$B$53,MATCH(E366,'MA DVVC'!$A$4:$A$53,0)),"Mã chưa có trong MA DVVC"))</f>
        <v/>
      </c>
      <c r="G366" s="12" t="str">
        <f aca="false">IF(B366="","",COUNTIF('BANG CAN'!$F$8:$F$1007,B366))</f>
        <v/>
      </c>
      <c r="H366" s="4"/>
    </row>
    <row r="367" customFormat="false" ht="15" hidden="false" customHeight="false" outlineLevel="0" collapsed="false">
      <c r="A367" s="12" t="str">
        <f aca="false">IF(B367="","",COUNTA($B$6:B367))</f>
        <v/>
      </c>
      <c r="B367" s="15"/>
      <c r="C367" s="4"/>
      <c r="D367" s="23"/>
      <c r="E367" s="15"/>
      <c r="F367" s="24" t="str">
        <f aca="false">IF(E367="","",IFERROR(INDEX('MA DVVC'!$B$4:$B$53,MATCH(E367,'MA DVVC'!$A$4:$A$53,0)),"Mã chưa có trong MA DVVC"))</f>
        <v/>
      </c>
      <c r="G367" s="12" t="str">
        <f aca="false">IF(B367="","",COUNTIF('BANG CAN'!$F$8:$F$1007,B367))</f>
        <v/>
      </c>
      <c r="H367" s="4"/>
    </row>
    <row r="368" customFormat="false" ht="15" hidden="false" customHeight="false" outlineLevel="0" collapsed="false">
      <c r="A368" s="12" t="str">
        <f aca="false">IF(B368="","",COUNTA($B$6:B368))</f>
        <v/>
      </c>
      <c r="B368" s="15"/>
      <c r="C368" s="4"/>
      <c r="D368" s="23"/>
      <c r="E368" s="15"/>
      <c r="F368" s="24" t="str">
        <f aca="false">IF(E368="","",IFERROR(INDEX('MA DVVC'!$B$4:$B$53,MATCH(E368,'MA DVVC'!$A$4:$A$53,0)),"Mã chưa có trong MA DVVC"))</f>
        <v/>
      </c>
      <c r="G368" s="12" t="str">
        <f aca="false">IF(B368="","",COUNTIF('BANG CAN'!$F$8:$F$1007,B368))</f>
        <v/>
      </c>
      <c r="H368" s="4"/>
    </row>
    <row r="369" customFormat="false" ht="15" hidden="false" customHeight="false" outlineLevel="0" collapsed="false">
      <c r="A369" s="12" t="str">
        <f aca="false">IF(B369="","",COUNTA($B$6:B369))</f>
        <v/>
      </c>
      <c r="B369" s="15"/>
      <c r="C369" s="4"/>
      <c r="D369" s="23"/>
      <c r="E369" s="15"/>
      <c r="F369" s="24" t="str">
        <f aca="false">IF(E369="","",IFERROR(INDEX('MA DVVC'!$B$4:$B$53,MATCH(E369,'MA DVVC'!$A$4:$A$53,0)),"Mã chưa có trong MA DVVC"))</f>
        <v/>
      </c>
      <c r="G369" s="12" t="str">
        <f aca="false">IF(B369="","",COUNTIF('BANG CAN'!$F$8:$F$1007,B369))</f>
        <v/>
      </c>
      <c r="H369" s="4"/>
    </row>
    <row r="370" customFormat="false" ht="15" hidden="false" customHeight="false" outlineLevel="0" collapsed="false">
      <c r="A370" s="12" t="str">
        <f aca="false">IF(B370="","",COUNTA($B$6:B370))</f>
        <v/>
      </c>
      <c r="B370" s="15"/>
      <c r="C370" s="4"/>
      <c r="D370" s="23"/>
      <c r="E370" s="15"/>
      <c r="F370" s="24" t="str">
        <f aca="false">IF(E370="","",IFERROR(INDEX('MA DVVC'!$B$4:$B$53,MATCH(E370,'MA DVVC'!$A$4:$A$53,0)),"Mã chưa có trong MA DVVC"))</f>
        <v/>
      </c>
      <c r="G370" s="12" t="str">
        <f aca="false">IF(B370="","",COUNTIF('BANG CAN'!$F$8:$F$1007,B370))</f>
        <v/>
      </c>
      <c r="H370" s="4"/>
    </row>
    <row r="371" customFormat="false" ht="15" hidden="false" customHeight="false" outlineLevel="0" collapsed="false">
      <c r="A371" s="12" t="str">
        <f aca="false">IF(B371="","",COUNTA($B$6:B371))</f>
        <v/>
      </c>
      <c r="B371" s="15"/>
      <c r="C371" s="4"/>
      <c r="D371" s="23"/>
      <c r="E371" s="15"/>
      <c r="F371" s="24" t="str">
        <f aca="false">IF(E371="","",IFERROR(INDEX('MA DVVC'!$B$4:$B$53,MATCH(E371,'MA DVVC'!$A$4:$A$53,0)),"Mã chưa có trong MA DVVC"))</f>
        <v/>
      </c>
      <c r="G371" s="12" t="str">
        <f aca="false">IF(B371="","",COUNTIF('BANG CAN'!$F$8:$F$1007,B371))</f>
        <v/>
      </c>
      <c r="H371" s="4"/>
    </row>
    <row r="372" customFormat="false" ht="15" hidden="false" customHeight="false" outlineLevel="0" collapsed="false">
      <c r="A372" s="12" t="str">
        <f aca="false">IF(B372="","",COUNTA($B$6:B372))</f>
        <v/>
      </c>
      <c r="B372" s="15"/>
      <c r="C372" s="4"/>
      <c r="D372" s="23"/>
      <c r="E372" s="15"/>
      <c r="F372" s="24" t="str">
        <f aca="false">IF(E372="","",IFERROR(INDEX('MA DVVC'!$B$4:$B$53,MATCH(E372,'MA DVVC'!$A$4:$A$53,0)),"Mã chưa có trong MA DVVC"))</f>
        <v/>
      </c>
      <c r="G372" s="12" t="str">
        <f aca="false">IF(B372="","",COUNTIF('BANG CAN'!$F$8:$F$1007,B372))</f>
        <v/>
      </c>
      <c r="H372" s="4"/>
    </row>
    <row r="373" customFormat="false" ht="15" hidden="false" customHeight="false" outlineLevel="0" collapsed="false">
      <c r="A373" s="12" t="str">
        <f aca="false">IF(B373="","",COUNTA($B$6:B373))</f>
        <v/>
      </c>
      <c r="B373" s="15"/>
      <c r="C373" s="4"/>
      <c r="D373" s="23"/>
      <c r="E373" s="15"/>
      <c r="F373" s="24" t="str">
        <f aca="false">IF(E373="","",IFERROR(INDEX('MA DVVC'!$B$4:$B$53,MATCH(E373,'MA DVVC'!$A$4:$A$53,0)),"Mã chưa có trong MA DVVC"))</f>
        <v/>
      </c>
      <c r="G373" s="12" t="str">
        <f aca="false">IF(B373="","",COUNTIF('BANG CAN'!$F$8:$F$1007,B373))</f>
        <v/>
      </c>
      <c r="H373" s="4"/>
    </row>
    <row r="374" customFormat="false" ht="15" hidden="false" customHeight="false" outlineLevel="0" collapsed="false">
      <c r="A374" s="12" t="str">
        <f aca="false">IF(B374="","",COUNTA($B$6:B374))</f>
        <v/>
      </c>
      <c r="B374" s="15"/>
      <c r="C374" s="4"/>
      <c r="D374" s="23"/>
      <c r="E374" s="15"/>
      <c r="F374" s="24" t="str">
        <f aca="false">IF(E374="","",IFERROR(INDEX('MA DVVC'!$B$4:$B$53,MATCH(E374,'MA DVVC'!$A$4:$A$53,0)),"Mã chưa có trong MA DVVC"))</f>
        <v/>
      </c>
      <c r="G374" s="12" t="str">
        <f aca="false">IF(B374="","",COUNTIF('BANG CAN'!$F$8:$F$1007,B374))</f>
        <v/>
      </c>
      <c r="H374" s="4"/>
    </row>
    <row r="375" customFormat="false" ht="15" hidden="false" customHeight="false" outlineLevel="0" collapsed="false">
      <c r="A375" s="12" t="str">
        <f aca="false">IF(B375="","",COUNTA($B$6:B375))</f>
        <v/>
      </c>
      <c r="B375" s="15"/>
      <c r="C375" s="4"/>
      <c r="D375" s="23"/>
      <c r="E375" s="15"/>
      <c r="F375" s="24" t="str">
        <f aca="false">IF(E375="","",IFERROR(INDEX('MA DVVC'!$B$4:$B$53,MATCH(E375,'MA DVVC'!$A$4:$A$53,0)),"Mã chưa có trong MA DVVC"))</f>
        <v/>
      </c>
      <c r="G375" s="12" t="str">
        <f aca="false">IF(B375="","",COUNTIF('BANG CAN'!$F$8:$F$1007,B375))</f>
        <v/>
      </c>
      <c r="H375" s="4"/>
    </row>
    <row r="376" customFormat="false" ht="15" hidden="false" customHeight="false" outlineLevel="0" collapsed="false">
      <c r="A376" s="12" t="str">
        <f aca="false">IF(B376="","",COUNTA($B$6:B376))</f>
        <v/>
      </c>
      <c r="B376" s="15"/>
      <c r="C376" s="4"/>
      <c r="D376" s="23"/>
      <c r="E376" s="15"/>
      <c r="F376" s="24" t="str">
        <f aca="false">IF(E376="","",IFERROR(INDEX('MA DVVC'!$B$4:$B$53,MATCH(E376,'MA DVVC'!$A$4:$A$53,0)),"Mã chưa có trong MA DVVC"))</f>
        <v/>
      </c>
      <c r="G376" s="12" t="str">
        <f aca="false">IF(B376="","",COUNTIF('BANG CAN'!$F$8:$F$1007,B376))</f>
        <v/>
      </c>
      <c r="H376" s="4"/>
    </row>
    <row r="377" customFormat="false" ht="15" hidden="false" customHeight="false" outlineLevel="0" collapsed="false">
      <c r="A377" s="12" t="str">
        <f aca="false">IF(B377="","",COUNTA($B$6:B377))</f>
        <v/>
      </c>
      <c r="B377" s="15"/>
      <c r="C377" s="4"/>
      <c r="D377" s="23"/>
      <c r="E377" s="15"/>
      <c r="F377" s="24" t="str">
        <f aca="false">IF(E377="","",IFERROR(INDEX('MA DVVC'!$B$4:$B$53,MATCH(E377,'MA DVVC'!$A$4:$A$53,0)),"Mã chưa có trong MA DVVC"))</f>
        <v/>
      </c>
      <c r="G377" s="12" t="str">
        <f aca="false">IF(B377="","",COUNTIF('BANG CAN'!$F$8:$F$1007,B377))</f>
        <v/>
      </c>
      <c r="H377" s="4"/>
    </row>
    <row r="378" customFormat="false" ht="15" hidden="false" customHeight="false" outlineLevel="0" collapsed="false">
      <c r="A378" s="12" t="str">
        <f aca="false">IF(B378="","",COUNTA($B$6:B378))</f>
        <v/>
      </c>
      <c r="B378" s="15"/>
      <c r="C378" s="4"/>
      <c r="D378" s="23"/>
      <c r="E378" s="15"/>
      <c r="F378" s="24" t="str">
        <f aca="false">IF(E378="","",IFERROR(INDEX('MA DVVC'!$B$4:$B$53,MATCH(E378,'MA DVVC'!$A$4:$A$53,0)),"Mã chưa có trong MA DVVC"))</f>
        <v/>
      </c>
      <c r="G378" s="12" t="str">
        <f aca="false">IF(B378="","",COUNTIF('BANG CAN'!$F$8:$F$1007,B378))</f>
        <v/>
      </c>
      <c r="H378" s="4"/>
    </row>
    <row r="379" customFormat="false" ht="15" hidden="false" customHeight="false" outlineLevel="0" collapsed="false">
      <c r="A379" s="12" t="str">
        <f aca="false">IF(B379="","",COUNTA($B$6:B379))</f>
        <v/>
      </c>
      <c r="B379" s="15"/>
      <c r="C379" s="4"/>
      <c r="D379" s="23"/>
      <c r="E379" s="15"/>
      <c r="F379" s="24" t="str">
        <f aca="false">IF(E379="","",IFERROR(INDEX('MA DVVC'!$B$4:$B$53,MATCH(E379,'MA DVVC'!$A$4:$A$53,0)),"Mã chưa có trong MA DVVC"))</f>
        <v/>
      </c>
      <c r="G379" s="12" t="str">
        <f aca="false">IF(B379="","",COUNTIF('BANG CAN'!$F$8:$F$1007,B379))</f>
        <v/>
      </c>
      <c r="H379" s="4"/>
    </row>
    <row r="380" customFormat="false" ht="15" hidden="false" customHeight="false" outlineLevel="0" collapsed="false">
      <c r="A380" s="12" t="str">
        <f aca="false">IF(B380="","",COUNTA($B$6:B380))</f>
        <v/>
      </c>
      <c r="B380" s="15"/>
      <c r="C380" s="4"/>
      <c r="D380" s="23"/>
      <c r="E380" s="15"/>
      <c r="F380" s="24" t="str">
        <f aca="false">IF(E380="","",IFERROR(INDEX('MA DVVC'!$B$4:$B$53,MATCH(E380,'MA DVVC'!$A$4:$A$53,0)),"Mã chưa có trong MA DVVC"))</f>
        <v/>
      </c>
      <c r="G380" s="12" t="str">
        <f aca="false">IF(B380="","",COUNTIF('BANG CAN'!$F$8:$F$1007,B380))</f>
        <v/>
      </c>
      <c r="H380" s="4"/>
    </row>
    <row r="381" customFormat="false" ht="15" hidden="false" customHeight="false" outlineLevel="0" collapsed="false">
      <c r="A381" s="12" t="str">
        <f aca="false">IF(B381="","",COUNTA($B$6:B381))</f>
        <v/>
      </c>
      <c r="B381" s="15"/>
      <c r="C381" s="4"/>
      <c r="D381" s="23"/>
      <c r="E381" s="15"/>
      <c r="F381" s="24" t="str">
        <f aca="false">IF(E381="","",IFERROR(INDEX('MA DVVC'!$B$4:$B$53,MATCH(E381,'MA DVVC'!$A$4:$A$53,0)),"Mã chưa có trong MA DVVC"))</f>
        <v/>
      </c>
      <c r="G381" s="12" t="str">
        <f aca="false">IF(B381="","",COUNTIF('BANG CAN'!$F$8:$F$1007,B381))</f>
        <v/>
      </c>
      <c r="H381" s="4"/>
    </row>
    <row r="382" customFormat="false" ht="15" hidden="false" customHeight="false" outlineLevel="0" collapsed="false">
      <c r="A382" s="12" t="str">
        <f aca="false">IF(B382="","",COUNTA($B$6:B382))</f>
        <v/>
      </c>
      <c r="B382" s="15"/>
      <c r="C382" s="4"/>
      <c r="D382" s="23"/>
      <c r="E382" s="15"/>
      <c r="F382" s="24" t="str">
        <f aca="false">IF(E382="","",IFERROR(INDEX('MA DVVC'!$B$4:$B$53,MATCH(E382,'MA DVVC'!$A$4:$A$53,0)),"Mã chưa có trong MA DVVC"))</f>
        <v/>
      </c>
      <c r="G382" s="12" t="str">
        <f aca="false">IF(B382="","",COUNTIF('BANG CAN'!$F$8:$F$1007,B382))</f>
        <v/>
      </c>
      <c r="H382" s="4"/>
    </row>
    <row r="383" customFormat="false" ht="15" hidden="false" customHeight="false" outlineLevel="0" collapsed="false">
      <c r="A383" s="12" t="str">
        <f aca="false">IF(B383="","",COUNTA($B$6:B383))</f>
        <v/>
      </c>
      <c r="B383" s="15"/>
      <c r="C383" s="4"/>
      <c r="D383" s="23"/>
      <c r="E383" s="15"/>
      <c r="F383" s="24" t="str">
        <f aca="false">IF(E383="","",IFERROR(INDEX('MA DVVC'!$B$4:$B$53,MATCH(E383,'MA DVVC'!$A$4:$A$53,0)),"Mã chưa có trong MA DVVC"))</f>
        <v/>
      </c>
      <c r="G383" s="12" t="str">
        <f aca="false">IF(B383="","",COUNTIF('BANG CAN'!$F$8:$F$1007,B383))</f>
        <v/>
      </c>
      <c r="H383" s="4"/>
    </row>
    <row r="384" customFormat="false" ht="15" hidden="false" customHeight="false" outlineLevel="0" collapsed="false">
      <c r="A384" s="12" t="str">
        <f aca="false">IF(B384="","",COUNTA($B$6:B384))</f>
        <v/>
      </c>
      <c r="B384" s="15"/>
      <c r="C384" s="4"/>
      <c r="D384" s="23"/>
      <c r="E384" s="15"/>
      <c r="F384" s="24" t="str">
        <f aca="false">IF(E384="","",IFERROR(INDEX('MA DVVC'!$B$4:$B$53,MATCH(E384,'MA DVVC'!$A$4:$A$53,0)),"Mã chưa có trong MA DVVC"))</f>
        <v/>
      </c>
      <c r="G384" s="12" t="str">
        <f aca="false">IF(B384="","",COUNTIF('BANG CAN'!$F$8:$F$1007,B384))</f>
        <v/>
      </c>
      <c r="H384" s="4"/>
    </row>
    <row r="385" customFormat="false" ht="15" hidden="false" customHeight="false" outlineLevel="0" collapsed="false">
      <c r="A385" s="12" t="str">
        <f aca="false">IF(B385="","",COUNTA($B$6:B385))</f>
        <v/>
      </c>
      <c r="B385" s="15"/>
      <c r="C385" s="4"/>
      <c r="D385" s="23"/>
      <c r="E385" s="15"/>
      <c r="F385" s="24" t="str">
        <f aca="false">IF(E385="","",IFERROR(INDEX('MA DVVC'!$B$4:$B$53,MATCH(E385,'MA DVVC'!$A$4:$A$53,0)),"Mã chưa có trong MA DVVC"))</f>
        <v/>
      </c>
      <c r="G385" s="12" t="str">
        <f aca="false">IF(B385="","",COUNTIF('BANG CAN'!$F$8:$F$1007,B385))</f>
        <v/>
      </c>
      <c r="H385" s="4"/>
    </row>
    <row r="386" customFormat="false" ht="15" hidden="false" customHeight="false" outlineLevel="0" collapsed="false">
      <c r="A386" s="12" t="str">
        <f aca="false">IF(B386="","",COUNTA($B$6:B386))</f>
        <v/>
      </c>
      <c r="B386" s="15"/>
      <c r="C386" s="4"/>
      <c r="D386" s="23"/>
      <c r="E386" s="15"/>
      <c r="F386" s="24" t="str">
        <f aca="false">IF(E386="","",IFERROR(INDEX('MA DVVC'!$B$4:$B$53,MATCH(E386,'MA DVVC'!$A$4:$A$53,0)),"Mã chưa có trong MA DVVC"))</f>
        <v/>
      </c>
      <c r="G386" s="12" t="str">
        <f aca="false">IF(B386="","",COUNTIF('BANG CAN'!$F$8:$F$1007,B386))</f>
        <v/>
      </c>
      <c r="H386" s="4"/>
    </row>
    <row r="387" customFormat="false" ht="15" hidden="false" customHeight="false" outlineLevel="0" collapsed="false">
      <c r="A387" s="12" t="str">
        <f aca="false">IF(B387="","",COUNTA($B$6:B387))</f>
        <v/>
      </c>
      <c r="B387" s="15"/>
      <c r="C387" s="4"/>
      <c r="D387" s="23"/>
      <c r="E387" s="15"/>
      <c r="F387" s="24" t="str">
        <f aca="false">IF(E387="","",IFERROR(INDEX('MA DVVC'!$B$4:$B$53,MATCH(E387,'MA DVVC'!$A$4:$A$53,0)),"Mã chưa có trong MA DVVC"))</f>
        <v/>
      </c>
      <c r="G387" s="12" t="str">
        <f aca="false">IF(B387="","",COUNTIF('BANG CAN'!$F$8:$F$1007,B387))</f>
        <v/>
      </c>
      <c r="H387" s="4"/>
    </row>
    <row r="388" customFormat="false" ht="15" hidden="false" customHeight="false" outlineLevel="0" collapsed="false">
      <c r="A388" s="12" t="str">
        <f aca="false">IF(B388="","",COUNTA($B$6:B388))</f>
        <v/>
      </c>
      <c r="B388" s="15"/>
      <c r="C388" s="4"/>
      <c r="D388" s="23"/>
      <c r="E388" s="15"/>
      <c r="F388" s="24" t="str">
        <f aca="false">IF(E388="","",IFERROR(INDEX('MA DVVC'!$B$4:$B$53,MATCH(E388,'MA DVVC'!$A$4:$A$53,0)),"Mã chưa có trong MA DVVC"))</f>
        <v/>
      </c>
      <c r="G388" s="12" t="str">
        <f aca="false">IF(B388="","",COUNTIF('BANG CAN'!$F$8:$F$1007,B388))</f>
        <v/>
      </c>
      <c r="H388" s="4"/>
    </row>
    <row r="389" customFormat="false" ht="15" hidden="false" customHeight="false" outlineLevel="0" collapsed="false">
      <c r="A389" s="12" t="str">
        <f aca="false">IF(B389="","",COUNTA($B$6:B389))</f>
        <v/>
      </c>
      <c r="B389" s="15"/>
      <c r="C389" s="4"/>
      <c r="D389" s="23"/>
      <c r="E389" s="15"/>
      <c r="F389" s="24" t="str">
        <f aca="false">IF(E389="","",IFERROR(INDEX('MA DVVC'!$B$4:$B$53,MATCH(E389,'MA DVVC'!$A$4:$A$53,0)),"Mã chưa có trong MA DVVC"))</f>
        <v/>
      </c>
      <c r="G389" s="12" t="str">
        <f aca="false">IF(B389="","",COUNTIF('BANG CAN'!$F$8:$F$1007,B389))</f>
        <v/>
      </c>
      <c r="H389" s="4"/>
    </row>
    <row r="390" customFormat="false" ht="15" hidden="false" customHeight="false" outlineLevel="0" collapsed="false">
      <c r="A390" s="12" t="str">
        <f aca="false">IF(B390="","",COUNTA($B$6:B390))</f>
        <v/>
      </c>
      <c r="B390" s="15"/>
      <c r="C390" s="4"/>
      <c r="D390" s="23"/>
      <c r="E390" s="15"/>
      <c r="F390" s="24" t="str">
        <f aca="false">IF(E390="","",IFERROR(INDEX('MA DVVC'!$B$4:$B$53,MATCH(E390,'MA DVVC'!$A$4:$A$53,0)),"Mã chưa có trong MA DVVC"))</f>
        <v/>
      </c>
      <c r="G390" s="12" t="str">
        <f aca="false">IF(B390="","",COUNTIF('BANG CAN'!$F$8:$F$1007,B390))</f>
        <v/>
      </c>
      <c r="H390" s="4"/>
    </row>
    <row r="391" customFormat="false" ht="15" hidden="false" customHeight="false" outlineLevel="0" collapsed="false">
      <c r="A391" s="12" t="str">
        <f aca="false">IF(B391="","",COUNTA($B$6:B391))</f>
        <v/>
      </c>
      <c r="B391" s="15"/>
      <c r="C391" s="4"/>
      <c r="D391" s="23"/>
      <c r="E391" s="15"/>
      <c r="F391" s="24" t="str">
        <f aca="false">IF(E391="","",IFERROR(INDEX('MA DVVC'!$B$4:$B$53,MATCH(E391,'MA DVVC'!$A$4:$A$53,0)),"Mã chưa có trong MA DVVC"))</f>
        <v/>
      </c>
      <c r="G391" s="12" t="str">
        <f aca="false">IF(B391="","",COUNTIF('BANG CAN'!$F$8:$F$1007,B391))</f>
        <v/>
      </c>
      <c r="H391" s="4"/>
    </row>
    <row r="392" customFormat="false" ht="15" hidden="false" customHeight="false" outlineLevel="0" collapsed="false">
      <c r="A392" s="12" t="str">
        <f aca="false">IF(B392="","",COUNTA($B$6:B392))</f>
        <v/>
      </c>
      <c r="B392" s="15"/>
      <c r="C392" s="4"/>
      <c r="D392" s="23"/>
      <c r="E392" s="15"/>
      <c r="F392" s="24" t="str">
        <f aca="false">IF(E392="","",IFERROR(INDEX('MA DVVC'!$B$4:$B$53,MATCH(E392,'MA DVVC'!$A$4:$A$53,0)),"Mã chưa có trong MA DVVC"))</f>
        <v/>
      </c>
      <c r="G392" s="12" t="str">
        <f aca="false">IF(B392="","",COUNTIF('BANG CAN'!$F$8:$F$1007,B392))</f>
        <v/>
      </c>
      <c r="H392" s="4"/>
    </row>
    <row r="393" customFormat="false" ht="15" hidden="false" customHeight="false" outlineLevel="0" collapsed="false">
      <c r="A393" s="12" t="str">
        <f aca="false">IF(B393="","",COUNTA($B$6:B393))</f>
        <v/>
      </c>
      <c r="B393" s="15"/>
      <c r="C393" s="4"/>
      <c r="D393" s="23"/>
      <c r="E393" s="15"/>
      <c r="F393" s="24" t="str">
        <f aca="false">IF(E393="","",IFERROR(INDEX('MA DVVC'!$B$4:$B$53,MATCH(E393,'MA DVVC'!$A$4:$A$53,0)),"Mã chưa có trong MA DVVC"))</f>
        <v/>
      </c>
      <c r="G393" s="12" t="str">
        <f aca="false">IF(B393="","",COUNTIF('BANG CAN'!$F$8:$F$1007,B393))</f>
        <v/>
      </c>
      <c r="H393" s="4"/>
    </row>
    <row r="394" customFormat="false" ht="15" hidden="false" customHeight="false" outlineLevel="0" collapsed="false">
      <c r="A394" s="12" t="str">
        <f aca="false">IF(B394="","",COUNTA($B$6:B394))</f>
        <v/>
      </c>
      <c r="B394" s="15"/>
      <c r="C394" s="4"/>
      <c r="D394" s="23"/>
      <c r="E394" s="15"/>
      <c r="F394" s="24" t="str">
        <f aca="false">IF(E394="","",IFERROR(INDEX('MA DVVC'!$B$4:$B$53,MATCH(E394,'MA DVVC'!$A$4:$A$53,0)),"Mã chưa có trong MA DVVC"))</f>
        <v/>
      </c>
      <c r="G394" s="12" t="str">
        <f aca="false">IF(B394="","",COUNTIF('BANG CAN'!$F$8:$F$1007,B394))</f>
        <v/>
      </c>
      <c r="H394" s="4"/>
    </row>
    <row r="395" customFormat="false" ht="15" hidden="false" customHeight="false" outlineLevel="0" collapsed="false">
      <c r="A395" s="12" t="str">
        <f aca="false">IF(B395="","",COUNTA($B$6:B395))</f>
        <v/>
      </c>
      <c r="B395" s="15"/>
      <c r="C395" s="4"/>
      <c r="D395" s="23"/>
      <c r="E395" s="15"/>
      <c r="F395" s="24" t="str">
        <f aca="false">IF(E395="","",IFERROR(INDEX('MA DVVC'!$B$4:$B$53,MATCH(E395,'MA DVVC'!$A$4:$A$53,0)),"Mã chưa có trong MA DVVC"))</f>
        <v/>
      </c>
      <c r="G395" s="12" t="str">
        <f aca="false">IF(B395="","",COUNTIF('BANG CAN'!$F$8:$F$1007,B395))</f>
        <v/>
      </c>
      <c r="H395" s="4"/>
    </row>
    <row r="396" customFormat="false" ht="15" hidden="false" customHeight="false" outlineLevel="0" collapsed="false">
      <c r="A396" s="12" t="str">
        <f aca="false">IF(B396="","",COUNTA($B$6:B396))</f>
        <v/>
      </c>
      <c r="B396" s="15"/>
      <c r="C396" s="4"/>
      <c r="D396" s="23"/>
      <c r="E396" s="15"/>
      <c r="F396" s="24" t="str">
        <f aca="false">IF(E396="","",IFERROR(INDEX('MA DVVC'!$B$4:$B$53,MATCH(E396,'MA DVVC'!$A$4:$A$53,0)),"Mã chưa có trong MA DVVC"))</f>
        <v/>
      </c>
      <c r="G396" s="12" t="str">
        <f aca="false">IF(B396="","",COUNTIF('BANG CAN'!$F$8:$F$1007,B396))</f>
        <v/>
      </c>
      <c r="H396" s="4"/>
    </row>
    <row r="397" customFormat="false" ht="15" hidden="false" customHeight="false" outlineLevel="0" collapsed="false">
      <c r="A397" s="12" t="str">
        <f aca="false">IF(B397="","",COUNTA($B$6:B397))</f>
        <v/>
      </c>
      <c r="B397" s="15"/>
      <c r="C397" s="4"/>
      <c r="D397" s="23"/>
      <c r="E397" s="15"/>
      <c r="F397" s="24" t="str">
        <f aca="false">IF(E397="","",IFERROR(INDEX('MA DVVC'!$B$4:$B$53,MATCH(E397,'MA DVVC'!$A$4:$A$53,0)),"Mã chưa có trong MA DVVC"))</f>
        <v/>
      </c>
      <c r="G397" s="12" t="str">
        <f aca="false">IF(B397="","",COUNTIF('BANG CAN'!$F$8:$F$1007,B397))</f>
        <v/>
      </c>
      <c r="H397" s="4"/>
    </row>
    <row r="398" customFormat="false" ht="15" hidden="false" customHeight="false" outlineLevel="0" collapsed="false">
      <c r="A398" s="12" t="str">
        <f aca="false">IF(B398="","",COUNTA($B$6:B398))</f>
        <v/>
      </c>
      <c r="B398" s="15"/>
      <c r="C398" s="4"/>
      <c r="D398" s="23"/>
      <c r="E398" s="15"/>
      <c r="F398" s="24" t="str">
        <f aca="false">IF(E398="","",IFERROR(INDEX('MA DVVC'!$B$4:$B$53,MATCH(E398,'MA DVVC'!$A$4:$A$53,0)),"Mã chưa có trong MA DVVC"))</f>
        <v/>
      </c>
      <c r="G398" s="12" t="str">
        <f aca="false">IF(B398="","",COUNTIF('BANG CAN'!$F$8:$F$1007,B398))</f>
        <v/>
      </c>
      <c r="H398" s="4"/>
    </row>
    <row r="399" customFormat="false" ht="15" hidden="false" customHeight="false" outlineLevel="0" collapsed="false">
      <c r="A399" s="12" t="str">
        <f aca="false">IF(B399="","",COUNTA($B$6:B399))</f>
        <v/>
      </c>
      <c r="B399" s="15"/>
      <c r="C399" s="4"/>
      <c r="D399" s="23"/>
      <c r="E399" s="15"/>
      <c r="F399" s="24" t="str">
        <f aca="false">IF(E399="","",IFERROR(INDEX('MA DVVC'!$B$4:$B$53,MATCH(E399,'MA DVVC'!$A$4:$A$53,0)),"Mã chưa có trong MA DVVC"))</f>
        <v/>
      </c>
      <c r="G399" s="12" t="str">
        <f aca="false">IF(B399="","",COUNTIF('BANG CAN'!$F$8:$F$1007,B399))</f>
        <v/>
      </c>
      <c r="H399" s="4"/>
    </row>
    <row r="400" customFormat="false" ht="15" hidden="false" customHeight="false" outlineLevel="0" collapsed="false">
      <c r="A400" s="12" t="str">
        <f aca="false">IF(B400="","",COUNTA($B$6:B400))</f>
        <v/>
      </c>
      <c r="B400" s="15"/>
      <c r="C400" s="4"/>
      <c r="D400" s="23"/>
      <c r="E400" s="15"/>
      <c r="F400" s="24" t="str">
        <f aca="false">IF(E400="","",IFERROR(INDEX('MA DVVC'!$B$4:$B$53,MATCH(E400,'MA DVVC'!$A$4:$A$53,0)),"Mã chưa có trong MA DVVC"))</f>
        <v/>
      </c>
      <c r="G400" s="12" t="str">
        <f aca="false">IF(B400="","",COUNTIF('BANG CAN'!$F$8:$F$1007,B400))</f>
        <v/>
      </c>
      <c r="H400" s="4"/>
    </row>
    <row r="401" customFormat="false" ht="15" hidden="false" customHeight="false" outlineLevel="0" collapsed="false">
      <c r="A401" s="12" t="str">
        <f aca="false">IF(B401="","",COUNTA($B$6:B401))</f>
        <v/>
      </c>
      <c r="B401" s="15"/>
      <c r="C401" s="4"/>
      <c r="D401" s="23"/>
      <c r="E401" s="15"/>
      <c r="F401" s="24" t="str">
        <f aca="false">IF(E401="","",IFERROR(INDEX('MA DVVC'!$B$4:$B$53,MATCH(E401,'MA DVVC'!$A$4:$A$53,0)),"Mã chưa có trong MA DVVC"))</f>
        <v/>
      </c>
      <c r="G401" s="12" t="str">
        <f aca="false">IF(B401="","",COUNTIF('BANG CAN'!$F$8:$F$1007,B401))</f>
        <v/>
      </c>
      <c r="H401" s="4"/>
    </row>
    <row r="402" customFormat="false" ht="15" hidden="false" customHeight="false" outlineLevel="0" collapsed="false">
      <c r="A402" s="12" t="str">
        <f aca="false">IF(B402="","",COUNTA($B$6:B402))</f>
        <v/>
      </c>
      <c r="B402" s="15"/>
      <c r="C402" s="4"/>
      <c r="D402" s="23"/>
      <c r="E402" s="15"/>
      <c r="F402" s="24" t="str">
        <f aca="false">IF(E402="","",IFERROR(INDEX('MA DVVC'!$B$4:$B$53,MATCH(E402,'MA DVVC'!$A$4:$A$53,0)),"Mã chưa có trong MA DVVC"))</f>
        <v/>
      </c>
      <c r="G402" s="12" t="str">
        <f aca="false">IF(B402="","",COUNTIF('BANG CAN'!$F$8:$F$1007,B402))</f>
        <v/>
      </c>
      <c r="H402" s="4"/>
    </row>
    <row r="403" customFormat="false" ht="15" hidden="false" customHeight="false" outlineLevel="0" collapsed="false">
      <c r="A403" s="12" t="str">
        <f aca="false">IF(B403="","",COUNTA($B$6:B403))</f>
        <v/>
      </c>
      <c r="B403" s="15"/>
      <c r="C403" s="4"/>
      <c r="D403" s="23"/>
      <c r="E403" s="15"/>
      <c r="F403" s="24" t="str">
        <f aca="false">IF(E403="","",IFERROR(INDEX('MA DVVC'!$B$4:$B$53,MATCH(E403,'MA DVVC'!$A$4:$A$53,0)),"Mã chưa có trong MA DVVC"))</f>
        <v/>
      </c>
      <c r="G403" s="12" t="str">
        <f aca="false">IF(B403="","",COUNTIF('BANG CAN'!$F$8:$F$1007,B403))</f>
        <v/>
      </c>
      <c r="H403" s="4"/>
    </row>
    <row r="404" customFormat="false" ht="15" hidden="false" customHeight="false" outlineLevel="0" collapsed="false">
      <c r="A404" s="12" t="str">
        <f aca="false">IF(B404="","",COUNTA($B$6:B404))</f>
        <v/>
      </c>
      <c r="B404" s="15"/>
      <c r="C404" s="4"/>
      <c r="D404" s="23"/>
      <c r="E404" s="15"/>
      <c r="F404" s="24" t="str">
        <f aca="false">IF(E404="","",IFERROR(INDEX('MA DVVC'!$B$4:$B$53,MATCH(E404,'MA DVVC'!$A$4:$A$53,0)),"Mã chưa có trong MA DVVC"))</f>
        <v/>
      </c>
      <c r="G404" s="12" t="str">
        <f aca="false">IF(B404="","",COUNTIF('BANG CAN'!$F$8:$F$1007,B404))</f>
        <v/>
      </c>
      <c r="H404" s="4"/>
    </row>
    <row r="405" customFormat="false" ht="15" hidden="false" customHeight="false" outlineLevel="0" collapsed="false">
      <c r="A405" s="12" t="str">
        <f aca="false">IF(B405="","",COUNTA($B$6:B405))</f>
        <v/>
      </c>
      <c r="B405" s="15"/>
      <c r="C405" s="4"/>
      <c r="D405" s="23"/>
      <c r="E405" s="15"/>
      <c r="F405" s="24" t="str">
        <f aca="false">IF(E405="","",IFERROR(INDEX('MA DVVC'!$B$4:$B$53,MATCH(E405,'MA DVVC'!$A$4:$A$53,0)),"Mã chưa có trong MA DVVC"))</f>
        <v/>
      </c>
      <c r="G405" s="12" t="str">
        <f aca="false">IF(B405="","",COUNTIF('BANG CAN'!$F$8:$F$1007,B405))</f>
        <v/>
      </c>
      <c r="H405" s="4"/>
    </row>
    <row r="406" customFormat="false" ht="15" hidden="false" customHeight="false" outlineLevel="0" collapsed="false">
      <c r="A406" s="12" t="str">
        <f aca="false">IF(B406="","",COUNTA($B$6:B406))</f>
        <v/>
      </c>
      <c r="B406" s="15"/>
      <c r="C406" s="4"/>
      <c r="D406" s="23"/>
      <c r="E406" s="15"/>
      <c r="F406" s="24" t="str">
        <f aca="false">IF(E406="","",IFERROR(INDEX('MA DVVC'!$B$4:$B$53,MATCH(E406,'MA DVVC'!$A$4:$A$53,0)),"Mã chưa có trong MA DVVC"))</f>
        <v/>
      </c>
      <c r="G406" s="12" t="str">
        <f aca="false">IF(B406="","",COUNTIF('BANG CAN'!$F$8:$F$1007,B406))</f>
        <v/>
      </c>
      <c r="H406" s="4"/>
    </row>
    <row r="407" customFormat="false" ht="15" hidden="false" customHeight="false" outlineLevel="0" collapsed="false">
      <c r="A407" s="12" t="str">
        <f aca="false">IF(B407="","",COUNTA($B$6:B407))</f>
        <v/>
      </c>
      <c r="B407" s="15"/>
      <c r="C407" s="4"/>
      <c r="D407" s="23"/>
      <c r="E407" s="15"/>
      <c r="F407" s="24" t="str">
        <f aca="false">IF(E407="","",IFERROR(INDEX('MA DVVC'!$B$4:$B$53,MATCH(E407,'MA DVVC'!$A$4:$A$53,0)),"Mã chưa có trong MA DVVC"))</f>
        <v/>
      </c>
      <c r="G407" s="12" t="str">
        <f aca="false">IF(B407="","",COUNTIF('BANG CAN'!$F$8:$F$1007,B407))</f>
        <v/>
      </c>
      <c r="H407" s="4"/>
    </row>
    <row r="408" customFormat="false" ht="15" hidden="false" customHeight="false" outlineLevel="0" collapsed="false">
      <c r="A408" s="12" t="str">
        <f aca="false">IF(B408="","",COUNTA($B$6:B408))</f>
        <v/>
      </c>
      <c r="B408" s="15"/>
      <c r="C408" s="4"/>
      <c r="D408" s="23"/>
      <c r="E408" s="15"/>
      <c r="F408" s="24" t="str">
        <f aca="false">IF(E408="","",IFERROR(INDEX('MA DVVC'!$B$4:$B$53,MATCH(E408,'MA DVVC'!$A$4:$A$53,0)),"Mã chưa có trong MA DVVC"))</f>
        <v/>
      </c>
      <c r="G408" s="12" t="str">
        <f aca="false">IF(B408="","",COUNTIF('BANG CAN'!$F$8:$F$1007,B408))</f>
        <v/>
      </c>
      <c r="H408" s="4"/>
    </row>
    <row r="409" customFormat="false" ht="15" hidden="false" customHeight="false" outlineLevel="0" collapsed="false">
      <c r="A409" s="12" t="str">
        <f aca="false">IF(B409="","",COUNTA($B$6:B409))</f>
        <v/>
      </c>
      <c r="B409" s="15"/>
      <c r="C409" s="4"/>
      <c r="D409" s="23"/>
      <c r="E409" s="15"/>
      <c r="F409" s="24" t="str">
        <f aca="false">IF(E409="","",IFERROR(INDEX('MA DVVC'!$B$4:$B$53,MATCH(E409,'MA DVVC'!$A$4:$A$53,0)),"Mã chưa có trong MA DVVC"))</f>
        <v/>
      </c>
      <c r="G409" s="12" t="str">
        <f aca="false">IF(B409="","",COUNTIF('BANG CAN'!$F$8:$F$1007,B409))</f>
        <v/>
      </c>
      <c r="H409" s="4"/>
    </row>
    <row r="410" customFormat="false" ht="15" hidden="false" customHeight="false" outlineLevel="0" collapsed="false">
      <c r="A410" s="12" t="str">
        <f aca="false">IF(B410="","",COUNTA($B$6:B410))</f>
        <v/>
      </c>
      <c r="B410" s="15"/>
      <c r="C410" s="4"/>
      <c r="D410" s="23"/>
      <c r="E410" s="15"/>
      <c r="F410" s="24" t="str">
        <f aca="false">IF(E410="","",IFERROR(INDEX('MA DVVC'!$B$4:$B$53,MATCH(E410,'MA DVVC'!$A$4:$A$53,0)),"Mã chưa có trong MA DVVC"))</f>
        <v/>
      </c>
      <c r="G410" s="12" t="str">
        <f aca="false">IF(B410="","",COUNTIF('BANG CAN'!$F$8:$F$1007,B410))</f>
        <v/>
      </c>
      <c r="H410" s="4"/>
    </row>
    <row r="411" customFormat="false" ht="15" hidden="false" customHeight="false" outlineLevel="0" collapsed="false">
      <c r="A411" s="12" t="str">
        <f aca="false">IF(B411="","",COUNTA($B$6:B411))</f>
        <v/>
      </c>
      <c r="B411" s="15"/>
      <c r="C411" s="4"/>
      <c r="D411" s="23"/>
      <c r="E411" s="15"/>
      <c r="F411" s="24" t="str">
        <f aca="false">IF(E411="","",IFERROR(INDEX('MA DVVC'!$B$4:$B$53,MATCH(E411,'MA DVVC'!$A$4:$A$53,0)),"Mã chưa có trong MA DVVC"))</f>
        <v/>
      </c>
      <c r="G411" s="12" t="str">
        <f aca="false">IF(B411="","",COUNTIF('BANG CAN'!$F$8:$F$1007,B411))</f>
        <v/>
      </c>
      <c r="H411" s="4"/>
    </row>
    <row r="412" customFormat="false" ht="15" hidden="false" customHeight="false" outlineLevel="0" collapsed="false">
      <c r="A412" s="12" t="str">
        <f aca="false">IF(B412="","",COUNTA($B$6:B412))</f>
        <v/>
      </c>
      <c r="B412" s="15"/>
      <c r="C412" s="4"/>
      <c r="D412" s="23"/>
      <c r="E412" s="15"/>
      <c r="F412" s="24" t="str">
        <f aca="false">IF(E412="","",IFERROR(INDEX('MA DVVC'!$B$4:$B$53,MATCH(E412,'MA DVVC'!$A$4:$A$53,0)),"Mã chưa có trong MA DVVC"))</f>
        <v/>
      </c>
      <c r="G412" s="12" t="str">
        <f aca="false">IF(B412="","",COUNTIF('BANG CAN'!$F$8:$F$1007,B412))</f>
        <v/>
      </c>
      <c r="H412" s="4"/>
    </row>
    <row r="413" customFormat="false" ht="15" hidden="false" customHeight="false" outlineLevel="0" collapsed="false">
      <c r="A413" s="12" t="str">
        <f aca="false">IF(B413="","",COUNTA($B$6:B413))</f>
        <v/>
      </c>
      <c r="B413" s="15"/>
      <c r="C413" s="4"/>
      <c r="D413" s="23"/>
      <c r="E413" s="15"/>
      <c r="F413" s="24" t="str">
        <f aca="false">IF(E413="","",IFERROR(INDEX('MA DVVC'!$B$4:$B$53,MATCH(E413,'MA DVVC'!$A$4:$A$53,0)),"Mã chưa có trong MA DVVC"))</f>
        <v/>
      </c>
      <c r="G413" s="12" t="str">
        <f aca="false">IF(B413="","",COUNTIF('BANG CAN'!$F$8:$F$1007,B413))</f>
        <v/>
      </c>
      <c r="H413" s="4"/>
    </row>
    <row r="414" customFormat="false" ht="15" hidden="false" customHeight="false" outlineLevel="0" collapsed="false">
      <c r="A414" s="12" t="str">
        <f aca="false">IF(B414="","",COUNTA($B$6:B414))</f>
        <v/>
      </c>
      <c r="B414" s="15"/>
      <c r="C414" s="4"/>
      <c r="D414" s="23"/>
      <c r="E414" s="15"/>
      <c r="F414" s="24" t="str">
        <f aca="false">IF(E414="","",IFERROR(INDEX('MA DVVC'!$B$4:$B$53,MATCH(E414,'MA DVVC'!$A$4:$A$53,0)),"Mã chưa có trong MA DVVC"))</f>
        <v/>
      </c>
      <c r="G414" s="12" t="str">
        <f aca="false">IF(B414="","",COUNTIF('BANG CAN'!$F$8:$F$1007,B414))</f>
        <v/>
      </c>
      <c r="H414" s="4"/>
    </row>
    <row r="415" customFormat="false" ht="15" hidden="false" customHeight="false" outlineLevel="0" collapsed="false">
      <c r="A415" s="12" t="str">
        <f aca="false">IF(B415="","",COUNTA($B$6:B415))</f>
        <v/>
      </c>
      <c r="B415" s="15"/>
      <c r="C415" s="4"/>
      <c r="D415" s="23"/>
      <c r="E415" s="15"/>
      <c r="F415" s="24" t="str">
        <f aca="false">IF(E415="","",IFERROR(INDEX('MA DVVC'!$B$4:$B$53,MATCH(E415,'MA DVVC'!$A$4:$A$53,0)),"Mã chưa có trong MA DVVC"))</f>
        <v/>
      </c>
      <c r="G415" s="12" t="str">
        <f aca="false">IF(B415="","",COUNTIF('BANG CAN'!$F$8:$F$1007,B415))</f>
        <v/>
      </c>
      <c r="H415" s="4"/>
    </row>
    <row r="416" customFormat="false" ht="15" hidden="false" customHeight="false" outlineLevel="0" collapsed="false">
      <c r="A416" s="12" t="str">
        <f aca="false">IF(B416="","",COUNTA($B$6:B416))</f>
        <v/>
      </c>
      <c r="B416" s="15"/>
      <c r="C416" s="4"/>
      <c r="D416" s="23"/>
      <c r="E416" s="15"/>
      <c r="F416" s="24" t="str">
        <f aca="false">IF(E416="","",IFERROR(INDEX('MA DVVC'!$B$4:$B$53,MATCH(E416,'MA DVVC'!$A$4:$A$53,0)),"Mã chưa có trong MA DVVC"))</f>
        <v/>
      </c>
      <c r="G416" s="12" t="str">
        <f aca="false">IF(B416="","",COUNTIF('BANG CAN'!$F$8:$F$1007,B416))</f>
        <v/>
      </c>
      <c r="H416" s="4"/>
    </row>
    <row r="417" customFormat="false" ht="15" hidden="false" customHeight="false" outlineLevel="0" collapsed="false">
      <c r="A417" s="12" t="str">
        <f aca="false">IF(B417="","",COUNTA($B$6:B417))</f>
        <v/>
      </c>
      <c r="B417" s="15"/>
      <c r="C417" s="4"/>
      <c r="D417" s="23"/>
      <c r="E417" s="15"/>
      <c r="F417" s="24" t="str">
        <f aca="false">IF(E417="","",IFERROR(INDEX('MA DVVC'!$B$4:$B$53,MATCH(E417,'MA DVVC'!$A$4:$A$53,0)),"Mã chưa có trong MA DVVC"))</f>
        <v/>
      </c>
      <c r="G417" s="12" t="str">
        <f aca="false">IF(B417="","",COUNTIF('BANG CAN'!$F$8:$F$1007,B417))</f>
        <v/>
      </c>
      <c r="H417" s="4"/>
    </row>
    <row r="418" customFormat="false" ht="15" hidden="false" customHeight="false" outlineLevel="0" collapsed="false">
      <c r="A418" s="12" t="str">
        <f aca="false">IF(B418="","",COUNTA($B$6:B418))</f>
        <v/>
      </c>
      <c r="B418" s="15"/>
      <c r="C418" s="4"/>
      <c r="D418" s="23"/>
      <c r="E418" s="15"/>
      <c r="F418" s="24" t="str">
        <f aca="false">IF(E418="","",IFERROR(INDEX('MA DVVC'!$B$4:$B$53,MATCH(E418,'MA DVVC'!$A$4:$A$53,0)),"Mã chưa có trong MA DVVC"))</f>
        <v/>
      </c>
      <c r="G418" s="12" t="str">
        <f aca="false">IF(B418="","",COUNTIF('BANG CAN'!$F$8:$F$1007,B418))</f>
        <v/>
      </c>
      <c r="H418" s="4"/>
    </row>
    <row r="419" customFormat="false" ht="15" hidden="false" customHeight="false" outlineLevel="0" collapsed="false">
      <c r="A419" s="12" t="str">
        <f aca="false">IF(B419="","",COUNTA($B$6:B419))</f>
        <v/>
      </c>
      <c r="B419" s="15"/>
      <c r="C419" s="4"/>
      <c r="D419" s="23"/>
      <c r="E419" s="15"/>
      <c r="F419" s="24" t="str">
        <f aca="false">IF(E419="","",IFERROR(INDEX('MA DVVC'!$B$4:$B$53,MATCH(E419,'MA DVVC'!$A$4:$A$53,0)),"Mã chưa có trong MA DVVC"))</f>
        <v/>
      </c>
      <c r="G419" s="12" t="str">
        <f aca="false">IF(B419="","",COUNTIF('BANG CAN'!$F$8:$F$1007,B419))</f>
        <v/>
      </c>
      <c r="H419" s="4"/>
    </row>
    <row r="420" customFormat="false" ht="15" hidden="false" customHeight="false" outlineLevel="0" collapsed="false">
      <c r="A420" s="12" t="str">
        <f aca="false">IF(B420="","",COUNTA($B$6:B420))</f>
        <v/>
      </c>
      <c r="B420" s="15"/>
      <c r="C420" s="4"/>
      <c r="D420" s="23"/>
      <c r="E420" s="15"/>
      <c r="F420" s="24" t="str">
        <f aca="false">IF(E420="","",IFERROR(INDEX('MA DVVC'!$B$4:$B$53,MATCH(E420,'MA DVVC'!$A$4:$A$53,0)),"Mã chưa có trong MA DVVC"))</f>
        <v/>
      </c>
      <c r="G420" s="12" t="str">
        <f aca="false">IF(B420="","",COUNTIF('BANG CAN'!$F$8:$F$1007,B420))</f>
        <v/>
      </c>
      <c r="H420" s="4"/>
    </row>
    <row r="421" customFormat="false" ht="15" hidden="false" customHeight="false" outlineLevel="0" collapsed="false">
      <c r="A421" s="12" t="str">
        <f aca="false">IF(B421="","",COUNTA($B$6:B421))</f>
        <v/>
      </c>
      <c r="B421" s="15"/>
      <c r="C421" s="4"/>
      <c r="D421" s="23"/>
      <c r="E421" s="15"/>
      <c r="F421" s="24" t="str">
        <f aca="false">IF(E421="","",IFERROR(INDEX('MA DVVC'!$B$4:$B$53,MATCH(E421,'MA DVVC'!$A$4:$A$53,0)),"Mã chưa có trong MA DVVC"))</f>
        <v/>
      </c>
      <c r="G421" s="12" t="str">
        <f aca="false">IF(B421="","",COUNTIF('BANG CAN'!$F$8:$F$1007,B421))</f>
        <v/>
      </c>
      <c r="H421" s="4"/>
    </row>
    <row r="422" customFormat="false" ht="15" hidden="false" customHeight="false" outlineLevel="0" collapsed="false">
      <c r="A422" s="12" t="str">
        <f aca="false">IF(B422="","",COUNTA($B$6:B422))</f>
        <v/>
      </c>
      <c r="B422" s="15"/>
      <c r="C422" s="4"/>
      <c r="D422" s="23"/>
      <c r="E422" s="15"/>
      <c r="F422" s="24" t="str">
        <f aca="false">IF(E422="","",IFERROR(INDEX('MA DVVC'!$B$4:$B$53,MATCH(E422,'MA DVVC'!$A$4:$A$53,0)),"Mã chưa có trong MA DVVC"))</f>
        <v/>
      </c>
      <c r="G422" s="12" t="str">
        <f aca="false">IF(B422="","",COUNTIF('BANG CAN'!$F$8:$F$1007,B422))</f>
        <v/>
      </c>
      <c r="H422" s="4"/>
    </row>
    <row r="423" customFormat="false" ht="15" hidden="false" customHeight="false" outlineLevel="0" collapsed="false">
      <c r="A423" s="12" t="str">
        <f aca="false">IF(B423="","",COUNTA($B$6:B423))</f>
        <v/>
      </c>
      <c r="B423" s="15"/>
      <c r="C423" s="4"/>
      <c r="D423" s="23"/>
      <c r="E423" s="15"/>
      <c r="F423" s="24" t="str">
        <f aca="false">IF(E423="","",IFERROR(INDEX('MA DVVC'!$B$4:$B$53,MATCH(E423,'MA DVVC'!$A$4:$A$53,0)),"Mã chưa có trong MA DVVC"))</f>
        <v/>
      </c>
      <c r="G423" s="12" t="str">
        <f aca="false">IF(B423="","",COUNTIF('BANG CAN'!$F$8:$F$1007,B423))</f>
        <v/>
      </c>
      <c r="H423" s="4"/>
    </row>
    <row r="424" customFormat="false" ht="15" hidden="false" customHeight="false" outlineLevel="0" collapsed="false">
      <c r="A424" s="12" t="str">
        <f aca="false">IF(B424="","",COUNTA($B$6:B424))</f>
        <v/>
      </c>
      <c r="B424" s="15"/>
      <c r="C424" s="4"/>
      <c r="D424" s="23"/>
      <c r="E424" s="15"/>
      <c r="F424" s="24" t="str">
        <f aca="false">IF(E424="","",IFERROR(INDEX('MA DVVC'!$B$4:$B$53,MATCH(E424,'MA DVVC'!$A$4:$A$53,0)),"Mã chưa có trong MA DVVC"))</f>
        <v/>
      </c>
      <c r="G424" s="12" t="str">
        <f aca="false">IF(B424="","",COUNTIF('BANG CAN'!$F$8:$F$1007,B424))</f>
        <v/>
      </c>
      <c r="H424" s="4"/>
    </row>
    <row r="425" customFormat="false" ht="15" hidden="false" customHeight="false" outlineLevel="0" collapsed="false">
      <c r="A425" s="12" t="str">
        <f aca="false">IF(B425="","",COUNTA($B$6:B425))</f>
        <v/>
      </c>
      <c r="B425" s="15"/>
      <c r="C425" s="4"/>
      <c r="D425" s="23"/>
      <c r="E425" s="15"/>
      <c r="F425" s="24" t="str">
        <f aca="false">IF(E425="","",IFERROR(INDEX('MA DVVC'!$B$4:$B$53,MATCH(E425,'MA DVVC'!$A$4:$A$53,0)),"Mã chưa có trong MA DVVC"))</f>
        <v/>
      </c>
      <c r="G425" s="12" t="str">
        <f aca="false">IF(B425="","",COUNTIF('BANG CAN'!$F$8:$F$1007,B425))</f>
        <v/>
      </c>
      <c r="H425" s="4"/>
    </row>
    <row r="426" customFormat="false" ht="15" hidden="false" customHeight="false" outlineLevel="0" collapsed="false">
      <c r="A426" s="12" t="str">
        <f aca="false">IF(B426="","",COUNTA($B$6:B426))</f>
        <v/>
      </c>
      <c r="B426" s="15"/>
      <c r="C426" s="4"/>
      <c r="D426" s="23"/>
      <c r="E426" s="15"/>
      <c r="F426" s="24" t="str">
        <f aca="false">IF(E426="","",IFERROR(INDEX('MA DVVC'!$B$4:$B$53,MATCH(E426,'MA DVVC'!$A$4:$A$53,0)),"Mã chưa có trong MA DVVC"))</f>
        <v/>
      </c>
      <c r="G426" s="12" t="str">
        <f aca="false">IF(B426="","",COUNTIF('BANG CAN'!$F$8:$F$1007,B426))</f>
        <v/>
      </c>
      <c r="H426" s="4"/>
    </row>
    <row r="427" customFormat="false" ht="15" hidden="false" customHeight="false" outlineLevel="0" collapsed="false">
      <c r="A427" s="12" t="str">
        <f aca="false">IF(B427="","",COUNTA($B$6:B427))</f>
        <v/>
      </c>
      <c r="B427" s="15"/>
      <c r="C427" s="4"/>
      <c r="D427" s="23"/>
      <c r="E427" s="15"/>
      <c r="F427" s="24" t="str">
        <f aca="false">IF(E427="","",IFERROR(INDEX('MA DVVC'!$B$4:$B$53,MATCH(E427,'MA DVVC'!$A$4:$A$53,0)),"Mã chưa có trong MA DVVC"))</f>
        <v/>
      </c>
      <c r="G427" s="12" t="str">
        <f aca="false">IF(B427="","",COUNTIF('BANG CAN'!$F$8:$F$1007,B427))</f>
        <v/>
      </c>
      <c r="H427" s="4"/>
    </row>
    <row r="428" customFormat="false" ht="15" hidden="false" customHeight="false" outlineLevel="0" collapsed="false">
      <c r="A428" s="12" t="str">
        <f aca="false">IF(B428="","",COUNTA($B$6:B428))</f>
        <v/>
      </c>
      <c r="B428" s="15"/>
      <c r="C428" s="4"/>
      <c r="D428" s="23"/>
      <c r="E428" s="15"/>
      <c r="F428" s="24" t="str">
        <f aca="false">IF(E428="","",IFERROR(INDEX('MA DVVC'!$B$4:$B$53,MATCH(E428,'MA DVVC'!$A$4:$A$53,0)),"Mã chưa có trong MA DVVC"))</f>
        <v/>
      </c>
      <c r="G428" s="12" t="str">
        <f aca="false">IF(B428="","",COUNTIF('BANG CAN'!$F$8:$F$1007,B428))</f>
        <v/>
      </c>
      <c r="H428" s="4"/>
    </row>
    <row r="429" customFormat="false" ht="15" hidden="false" customHeight="false" outlineLevel="0" collapsed="false">
      <c r="A429" s="12" t="str">
        <f aca="false">IF(B429="","",COUNTA($B$6:B429))</f>
        <v/>
      </c>
      <c r="B429" s="15"/>
      <c r="C429" s="4"/>
      <c r="D429" s="23"/>
      <c r="E429" s="15"/>
      <c r="F429" s="24" t="str">
        <f aca="false">IF(E429="","",IFERROR(INDEX('MA DVVC'!$B$4:$B$53,MATCH(E429,'MA DVVC'!$A$4:$A$53,0)),"Mã chưa có trong MA DVVC"))</f>
        <v/>
      </c>
      <c r="G429" s="12" t="str">
        <f aca="false">IF(B429="","",COUNTIF('BANG CAN'!$F$8:$F$1007,B429))</f>
        <v/>
      </c>
      <c r="H429" s="4"/>
    </row>
    <row r="430" customFormat="false" ht="15" hidden="false" customHeight="false" outlineLevel="0" collapsed="false">
      <c r="A430" s="12" t="str">
        <f aca="false">IF(B430="","",COUNTA($B$6:B430))</f>
        <v/>
      </c>
      <c r="B430" s="15"/>
      <c r="C430" s="4"/>
      <c r="D430" s="23"/>
      <c r="E430" s="15"/>
      <c r="F430" s="24" t="str">
        <f aca="false">IF(E430="","",IFERROR(INDEX('MA DVVC'!$B$4:$B$53,MATCH(E430,'MA DVVC'!$A$4:$A$53,0)),"Mã chưa có trong MA DVVC"))</f>
        <v/>
      </c>
      <c r="G430" s="12" t="str">
        <f aca="false">IF(B430="","",COUNTIF('BANG CAN'!$F$8:$F$1007,B430))</f>
        <v/>
      </c>
      <c r="H430" s="4"/>
    </row>
    <row r="431" customFormat="false" ht="15" hidden="false" customHeight="false" outlineLevel="0" collapsed="false">
      <c r="A431" s="12" t="str">
        <f aca="false">IF(B431="","",COUNTA($B$6:B431))</f>
        <v/>
      </c>
      <c r="B431" s="15"/>
      <c r="C431" s="4"/>
      <c r="D431" s="23"/>
      <c r="E431" s="15"/>
      <c r="F431" s="24" t="str">
        <f aca="false">IF(E431="","",IFERROR(INDEX('MA DVVC'!$B$4:$B$53,MATCH(E431,'MA DVVC'!$A$4:$A$53,0)),"Mã chưa có trong MA DVVC"))</f>
        <v/>
      </c>
      <c r="G431" s="12" t="str">
        <f aca="false">IF(B431="","",COUNTIF('BANG CAN'!$F$8:$F$1007,B431))</f>
        <v/>
      </c>
      <c r="H431" s="4"/>
    </row>
    <row r="432" customFormat="false" ht="15" hidden="false" customHeight="false" outlineLevel="0" collapsed="false">
      <c r="A432" s="12" t="str">
        <f aca="false">IF(B432="","",COUNTA($B$6:B432))</f>
        <v/>
      </c>
      <c r="B432" s="15"/>
      <c r="C432" s="4"/>
      <c r="D432" s="23"/>
      <c r="E432" s="15"/>
      <c r="F432" s="24" t="str">
        <f aca="false">IF(E432="","",IFERROR(INDEX('MA DVVC'!$B$4:$B$53,MATCH(E432,'MA DVVC'!$A$4:$A$53,0)),"Mã chưa có trong MA DVVC"))</f>
        <v/>
      </c>
      <c r="G432" s="12" t="str">
        <f aca="false">IF(B432="","",COUNTIF('BANG CAN'!$F$8:$F$1007,B432))</f>
        <v/>
      </c>
      <c r="H432" s="4"/>
    </row>
    <row r="433" customFormat="false" ht="15" hidden="false" customHeight="false" outlineLevel="0" collapsed="false">
      <c r="A433" s="12" t="str">
        <f aca="false">IF(B433="","",COUNTA($B$6:B433))</f>
        <v/>
      </c>
      <c r="B433" s="15"/>
      <c r="C433" s="4"/>
      <c r="D433" s="23"/>
      <c r="E433" s="15"/>
      <c r="F433" s="24" t="str">
        <f aca="false">IF(E433="","",IFERROR(INDEX('MA DVVC'!$B$4:$B$53,MATCH(E433,'MA DVVC'!$A$4:$A$53,0)),"Mã chưa có trong MA DVVC"))</f>
        <v/>
      </c>
      <c r="G433" s="12" t="str">
        <f aca="false">IF(B433="","",COUNTIF('BANG CAN'!$F$8:$F$1007,B433))</f>
        <v/>
      </c>
      <c r="H433" s="4"/>
    </row>
    <row r="434" customFormat="false" ht="15" hidden="false" customHeight="false" outlineLevel="0" collapsed="false">
      <c r="A434" s="12" t="str">
        <f aca="false">IF(B434="","",COUNTA($B$6:B434))</f>
        <v/>
      </c>
      <c r="B434" s="15"/>
      <c r="C434" s="4"/>
      <c r="D434" s="23"/>
      <c r="E434" s="15"/>
      <c r="F434" s="24" t="str">
        <f aca="false">IF(E434="","",IFERROR(INDEX('MA DVVC'!$B$4:$B$53,MATCH(E434,'MA DVVC'!$A$4:$A$53,0)),"Mã chưa có trong MA DVVC"))</f>
        <v/>
      </c>
      <c r="G434" s="12" t="str">
        <f aca="false">IF(B434="","",COUNTIF('BANG CAN'!$F$8:$F$1007,B434))</f>
        <v/>
      </c>
      <c r="H434" s="4"/>
    </row>
    <row r="435" customFormat="false" ht="15" hidden="false" customHeight="false" outlineLevel="0" collapsed="false">
      <c r="A435" s="12" t="str">
        <f aca="false">IF(B435="","",COUNTA($B$6:B435))</f>
        <v/>
      </c>
      <c r="B435" s="15"/>
      <c r="C435" s="4"/>
      <c r="D435" s="23"/>
      <c r="E435" s="15"/>
      <c r="F435" s="24" t="str">
        <f aca="false">IF(E435="","",IFERROR(INDEX('MA DVVC'!$B$4:$B$53,MATCH(E435,'MA DVVC'!$A$4:$A$53,0)),"Mã chưa có trong MA DVVC"))</f>
        <v/>
      </c>
      <c r="G435" s="12" t="str">
        <f aca="false">IF(B435="","",COUNTIF('BANG CAN'!$F$8:$F$1007,B435))</f>
        <v/>
      </c>
      <c r="H435" s="4"/>
    </row>
    <row r="436" customFormat="false" ht="15" hidden="false" customHeight="false" outlineLevel="0" collapsed="false">
      <c r="A436" s="12" t="str">
        <f aca="false">IF(B436="","",COUNTA($B$6:B436))</f>
        <v/>
      </c>
      <c r="B436" s="15"/>
      <c r="C436" s="4"/>
      <c r="D436" s="23"/>
      <c r="E436" s="15"/>
      <c r="F436" s="24" t="str">
        <f aca="false">IF(E436="","",IFERROR(INDEX('MA DVVC'!$B$4:$B$53,MATCH(E436,'MA DVVC'!$A$4:$A$53,0)),"Mã chưa có trong MA DVVC"))</f>
        <v/>
      </c>
      <c r="G436" s="12" t="str">
        <f aca="false">IF(B436="","",COUNTIF('BANG CAN'!$F$8:$F$1007,B436))</f>
        <v/>
      </c>
      <c r="H436" s="4"/>
    </row>
    <row r="437" customFormat="false" ht="15" hidden="false" customHeight="false" outlineLevel="0" collapsed="false">
      <c r="A437" s="12" t="str">
        <f aca="false">IF(B437="","",COUNTA($B$6:B437))</f>
        <v/>
      </c>
      <c r="B437" s="15"/>
      <c r="C437" s="4"/>
      <c r="D437" s="23"/>
      <c r="E437" s="15"/>
      <c r="F437" s="24" t="str">
        <f aca="false">IF(E437="","",IFERROR(INDEX('MA DVVC'!$B$4:$B$53,MATCH(E437,'MA DVVC'!$A$4:$A$53,0)),"Mã chưa có trong MA DVVC"))</f>
        <v/>
      </c>
      <c r="G437" s="12" t="str">
        <f aca="false">IF(B437="","",COUNTIF('BANG CAN'!$F$8:$F$1007,B437))</f>
        <v/>
      </c>
      <c r="H437" s="4"/>
    </row>
    <row r="438" customFormat="false" ht="15" hidden="false" customHeight="false" outlineLevel="0" collapsed="false">
      <c r="A438" s="12" t="str">
        <f aca="false">IF(B438="","",COUNTA($B$6:B438))</f>
        <v/>
      </c>
      <c r="B438" s="15"/>
      <c r="C438" s="4"/>
      <c r="D438" s="23"/>
      <c r="E438" s="15"/>
      <c r="F438" s="24" t="str">
        <f aca="false">IF(E438="","",IFERROR(INDEX('MA DVVC'!$B$4:$B$53,MATCH(E438,'MA DVVC'!$A$4:$A$53,0)),"Mã chưa có trong MA DVVC"))</f>
        <v/>
      </c>
      <c r="G438" s="12" t="str">
        <f aca="false">IF(B438="","",COUNTIF('BANG CAN'!$F$8:$F$1007,B438))</f>
        <v/>
      </c>
      <c r="H438" s="4"/>
    </row>
    <row r="439" customFormat="false" ht="15" hidden="false" customHeight="false" outlineLevel="0" collapsed="false">
      <c r="A439" s="12" t="str">
        <f aca="false">IF(B439="","",COUNTA($B$6:B439))</f>
        <v/>
      </c>
      <c r="B439" s="15"/>
      <c r="C439" s="4"/>
      <c r="D439" s="23"/>
      <c r="E439" s="15"/>
      <c r="F439" s="24" t="str">
        <f aca="false">IF(E439="","",IFERROR(INDEX('MA DVVC'!$B$4:$B$53,MATCH(E439,'MA DVVC'!$A$4:$A$53,0)),"Mã chưa có trong MA DVVC"))</f>
        <v/>
      </c>
      <c r="G439" s="12" t="str">
        <f aca="false">IF(B439="","",COUNTIF('BANG CAN'!$F$8:$F$1007,B439))</f>
        <v/>
      </c>
      <c r="H439" s="4"/>
    </row>
    <row r="440" customFormat="false" ht="15" hidden="false" customHeight="false" outlineLevel="0" collapsed="false">
      <c r="A440" s="12" t="str">
        <f aca="false">IF(B440="","",COUNTA($B$6:B440))</f>
        <v/>
      </c>
      <c r="B440" s="15"/>
      <c r="C440" s="4"/>
      <c r="D440" s="23"/>
      <c r="E440" s="15"/>
      <c r="F440" s="24" t="str">
        <f aca="false">IF(E440="","",IFERROR(INDEX('MA DVVC'!$B$4:$B$53,MATCH(E440,'MA DVVC'!$A$4:$A$53,0)),"Mã chưa có trong MA DVVC"))</f>
        <v/>
      </c>
      <c r="G440" s="12" t="str">
        <f aca="false">IF(B440="","",COUNTIF('BANG CAN'!$F$8:$F$1007,B440))</f>
        <v/>
      </c>
      <c r="H440" s="4"/>
    </row>
    <row r="441" customFormat="false" ht="15" hidden="false" customHeight="false" outlineLevel="0" collapsed="false">
      <c r="A441" s="12" t="str">
        <f aca="false">IF(B441="","",COUNTA($B$6:B441))</f>
        <v/>
      </c>
      <c r="B441" s="15"/>
      <c r="C441" s="4"/>
      <c r="D441" s="23"/>
      <c r="E441" s="15"/>
      <c r="F441" s="24" t="str">
        <f aca="false">IF(E441="","",IFERROR(INDEX('MA DVVC'!$B$4:$B$53,MATCH(E441,'MA DVVC'!$A$4:$A$53,0)),"Mã chưa có trong MA DVVC"))</f>
        <v/>
      </c>
      <c r="G441" s="12" t="str">
        <f aca="false">IF(B441="","",COUNTIF('BANG CAN'!$F$8:$F$1007,B441))</f>
        <v/>
      </c>
      <c r="H441" s="4"/>
    </row>
    <row r="442" customFormat="false" ht="15" hidden="false" customHeight="false" outlineLevel="0" collapsed="false">
      <c r="A442" s="12" t="str">
        <f aca="false">IF(B442="","",COUNTA($B$6:B442))</f>
        <v/>
      </c>
      <c r="B442" s="15"/>
      <c r="C442" s="4"/>
      <c r="D442" s="23"/>
      <c r="E442" s="15"/>
      <c r="F442" s="24" t="str">
        <f aca="false">IF(E442="","",IFERROR(INDEX('MA DVVC'!$B$4:$B$53,MATCH(E442,'MA DVVC'!$A$4:$A$53,0)),"Mã chưa có trong MA DVVC"))</f>
        <v/>
      </c>
      <c r="G442" s="12" t="str">
        <f aca="false">IF(B442="","",COUNTIF('BANG CAN'!$F$8:$F$1007,B442))</f>
        <v/>
      </c>
      <c r="H442" s="4"/>
    </row>
    <row r="443" customFormat="false" ht="15" hidden="false" customHeight="false" outlineLevel="0" collapsed="false">
      <c r="A443" s="12" t="str">
        <f aca="false">IF(B443="","",COUNTA($B$6:B443))</f>
        <v/>
      </c>
      <c r="B443" s="15"/>
      <c r="C443" s="4"/>
      <c r="D443" s="23"/>
      <c r="E443" s="15"/>
      <c r="F443" s="24" t="str">
        <f aca="false">IF(E443="","",IFERROR(INDEX('MA DVVC'!$B$4:$B$53,MATCH(E443,'MA DVVC'!$A$4:$A$53,0)),"Mã chưa có trong MA DVVC"))</f>
        <v/>
      </c>
      <c r="G443" s="12" t="str">
        <f aca="false">IF(B443="","",COUNTIF('BANG CAN'!$F$8:$F$1007,B443))</f>
        <v/>
      </c>
      <c r="H443" s="4"/>
    </row>
    <row r="444" customFormat="false" ht="15" hidden="false" customHeight="false" outlineLevel="0" collapsed="false">
      <c r="A444" s="12" t="str">
        <f aca="false">IF(B444="","",COUNTA($B$6:B444))</f>
        <v/>
      </c>
      <c r="B444" s="15"/>
      <c r="C444" s="4"/>
      <c r="D444" s="23"/>
      <c r="E444" s="15"/>
      <c r="F444" s="24" t="str">
        <f aca="false">IF(E444="","",IFERROR(INDEX('MA DVVC'!$B$4:$B$53,MATCH(E444,'MA DVVC'!$A$4:$A$53,0)),"Mã chưa có trong MA DVVC"))</f>
        <v/>
      </c>
      <c r="G444" s="12" t="str">
        <f aca="false">IF(B444="","",COUNTIF('BANG CAN'!$F$8:$F$1007,B444))</f>
        <v/>
      </c>
      <c r="H444" s="4"/>
    </row>
    <row r="445" customFormat="false" ht="15" hidden="false" customHeight="false" outlineLevel="0" collapsed="false">
      <c r="A445" s="12" t="str">
        <f aca="false">IF(B445="","",COUNTA($B$6:B445))</f>
        <v/>
      </c>
      <c r="B445" s="15"/>
      <c r="C445" s="4"/>
      <c r="D445" s="23"/>
      <c r="E445" s="15"/>
      <c r="F445" s="24" t="str">
        <f aca="false">IF(E445="","",IFERROR(INDEX('MA DVVC'!$B$4:$B$53,MATCH(E445,'MA DVVC'!$A$4:$A$53,0)),"Mã chưa có trong MA DVVC"))</f>
        <v/>
      </c>
      <c r="G445" s="12" t="str">
        <f aca="false">IF(B445="","",COUNTIF('BANG CAN'!$F$8:$F$1007,B445))</f>
        <v/>
      </c>
      <c r="H445" s="4"/>
    </row>
    <row r="446" customFormat="false" ht="15" hidden="false" customHeight="false" outlineLevel="0" collapsed="false">
      <c r="A446" s="12" t="str">
        <f aca="false">IF(B446="","",COUNTA($B$6:B446))</f>
        <v/>
      </c>
      <c r="B446" s="15"/>
      <c r="C446" s="4"/>
      <c r="D446" s="23"/>
      <c r="E446" s="15"/>
      <c r="F446" s="24" t="str">
        <f aca="false">IF(E446="","",IFERROR(INDEX('MA DVVC'!$B$4:$B$53,MATCH(E446,'MA DVVC'!$A$4:$A$53,0)),"Mã chưa có trong MA DVVC"))</f>
        <v/>
      </c>
      <c r="G446" s="12" t="str">
        <f aca="false">IF(B446="","",COUNTIF('BANG CAN'!$F$8:$F$1007,B446))</f>
        <v/>
      </c>
      <c r="H446" s="4"/>
    </row>
    <row r="447" customFormat="false" ht="15" hidden="false" customHeight="false" outlineLevel="0" collapsed="false">
      <c r="A447" s="12" t="str">
        <f aca="false">IF(B447="","",COUNTA($B$6:B447))</f>
        <v/>
      </c>
      <c r="B447" s="15"/>
      <c r="C447" s="4"/>
      <c r="D447" s="23"/>
      <c r="E447" s="15"/>
      <c r="F447" s="24" t="str">
        <f aca="false">IF(E447="","",IFERROR(INDEX('MA DVVC'!$B$4:$B$53,MATCH(E447,'MA DVVC'!$A$4:$A$53,0)),"Mã chưa có trong MA DVVC"))</f>
        <v/>
      </c>
      <c r="G447" s="12" t="str">
        <f aca="false">IF(B447="","",COUNTIF('BANG CAN'!$F$8:$F$1007,B447))</f>
        <v/>
      </c>
      <c r="H447" s="4"/>
    </row>
    <row r="448" customFormat="false" ht="15" hidden="false" customHeight="false" outlineLevel="0" collapsed="false">
      <c r="A448" s="12" t="str">
        <f aca="false">IF(B448="","",COUNTA($B$6:B448))</f>
        <v/>
      </c>
      <c r="B448" s="15"/>
      <c r="C448" s="4"/>
      <c r="D448" s="23"/>
      <c r="E448" s="15"/>
      <c r="F448" s="24" t="str">
        <f aca="false">IF(E448="","",IFERROR(INDEX('MA DVVC'!$B$4:$B$53,MATCH(E448,'MA DVVC'!$A$4:$A$53,0)),"Mã chưa có trong MA DVVC"))</f>
        <v/>
      </c>
      <c r="G448" s="12" t="str">
        <f aca="false">IF(B448="","",COUNTIF('BANG CAN'!$F$8:$F$1007,B448))</f>
        <v/>
      </c>
      <c r="H448" s="4"/>
    </row>
    <row r="449" customFormat="false" ht="15" hidden="false" customHeight="false" outlineLevel="0" collapsed="false">
      <c r="A449" s="12" t="str">
        <f aca="false">IF(B449="","",COUNTA($B$6:B449))</f>
        <v/>
      </c>
      <c r="B449" s="15"/>
      <c r="C449" s="4"/>
      <c r="D449" s="23"/>
      <c r="E449" s="15"/>
      <c r="F449" s="24" t="str">
        <f aca="false">IF(E449="","",IFERROR(INDEX('MA DVVC'!$B$4:$B$53,MATCH(E449,'MA DVVC'!$A$4:$A$53,0)),"Mã chưa có trong MA DVVC"))</f>
        <v/>
      </c>
      <c r="G449" s="12" t="str">
        <f aca="false">IF(B449="","",COUNTIF('BANG CAN'!$F$8:$F$1007,B449))</f>
        <v/>
      </c>
      <c r="H449" s="4"/>
    </row>
    <row r="450" customFormat="false" ht="15" hidden="false" customHeight="false" outlineLevel="0" collapsed="false">
      <c r="A450" s="12" t="str">
        <f aca="false">IF(B450="","",COUNTA($B$6:B450))</f>
        <v/>
      </c>
      <c r="B450" s="15"/>
      <c r="C450" s="4"/>
      <c r="D450" s="23"/>
      <c r="E450" s="15"/>
      <c r="F450" s="24" t="str">
        <f aca="false">IF(E450="","",IFERROR(INDEX('MA DVVC'!$B$4:$B$53,MATCH(E450,'MA DVVC'!$A$4:$A$53,0)),"Mã chưa có trong MA DVVC"))</f>
        <v/>
      </c>
      <c r="G450" s="12" t="str">
        <f aca="false">IF(B450="","",COUNTIF('BANG CAN'!$F$8:$F$1007,B450))</f>
        <v/>
      </c>
      <c r="H450" s="4"/>
    </row>
    <row r="451" customFormat="false" ht="15" hidden="false" customHeight="false" outlineLevel="0" collapsed="false">
      <c r="A451" s="12" t="str">
        <f aca="false">IF(B451="","",COUNTA($B$6:B451))</f>
        <v/>
      </c>
      <c r="B451" s="15"/>
      <c r="C451" s="4"/>
      <c r="D451" s="23"/>
      <c r="E451" s="15"/>
      <c r="F451" s="24" t="str">
        <f aca="false">IF(E451="","",IFERROR(INDEX('MA DVVC'!$B$4:$B$53,MATCH(E451,'MA DVVC'!$A$4:$A$53,0)),"Mã chưa có trong MA DVVC"))</f>
        <v/>
      </c>
      <c r="G451" s="12" t="str">
        <f aca="false">IF(B451="","",COUNTIF('BANG CAN'!$F$8:$F$1007,B451))</f>
        <v/>
      </c>
      <c r="H451" s="4"/>
    </row>
    <row r="452" customFormat="false" ht="15" hidden="false" customHeight="false" outlineLevel="0" collapsed="false">
      <c r="A452" s="12" t="str">
        <f aca="false">IF(B452="","",COUNTA($B$6:B452))</f>
        <v/>
      </c>
      <c r="B452" s="15"/>
      <c r="C452" s="4"/>
      <c r="D452" s="23"/>
      <c r="E452" s="15"/>
      <c r="F452" s="24" t="str">
        <f aca="false">IF(E452="","",IFERROR(INDEX('MA DVVC'!$B$4:$B$53,MATCH(E452,'MA DVVC'!$A$4:$A$53,0)),"Mã chưa có trong MA DVVC"))</f>
        <v/>
      </c>
      <c r="G452" s="12" t="str">
        <f aca="false">IF(B452="","",COUNTIF('BANG CAN'!$F$8:$F$1007,B452))</f>
        <v/>
      </c>
      <c r="H452" s="4"/>
    </row>
    <row r="453" customFormat="false" ht="15" hidden="false" customHeight="false" outlineLevel="0" collapsed="false">
      <c r="A453" s="12" t="str">
        <f aca="false">IF(B453="","",COUNTA($B$6:B453))</f>
        <v/>
      </c>
      <c r="B453" s="15"/>
      <c r="C453" s="4"/>
      <c r="D453" s="23"/>
      <c r="E453" s="15"/>
      <c r="F453" s="24" t="str">
        <f aca="false">IF(E453="","",IFERROR(INDEX('MA DVVC'!$B$4:$B$53,MATCH(E453,'MA DVVC'!$A$4:$A$53,0)),"Mã chưa có trong MA DVVC"))</f>
        <v/>
      </c>
      <c r="G453" s="12" t="str">
        <f aca="false">IF(B453="","",COUNTIF('BANG CAN'!$F$8:$F$1007,B453))</f>
        <v/>
      </c>
      <c r="H453" s="4"/>
    </row>
    <row r="454" customFormat="false" ht="15" hidden="false" customHeight="false" outlineLevel="0" collapsed="false">
      <c r="A454" s="12" t="str">
        <f aca="false">IF(B454="","",COUNTA($B$6:B454))</f>
        <v/>
      </c>
      <c r="B454" s="15"/>
      <c r="C454" s="4"/>
      <c r="D454" s="23"/>
      <c r="E454" s="15"/>
      <c r="F454" s="24" t="str">
        <f aca="false">IF(E454="","",IFERROR(INDEX('MA DVVC'!$B$4:$B$53,MATCH(E454,'MA DVVC'!$A$4:$A$53,0)),"Mã chưa có trong MA DVVC"))</f>
        <v/>
      </c>
      <c r="G454" s="12" t="str">
        <f aca="false">IF(B454="","",COUNTIF('BANG CAN'!$F$8:$F$1007,B454))</f>
        <v/>
      </c>
      <c r="H454" s="4"/>
    </row>
    <row r="455" customFormat="false" ht="15" hidden="false" customHeight="false" outlineLevel="0" collapsed="false">
      <c r="A455" s="12" t="str">
        <f aca="false">IF(B455="","",COUNTA($B$6:B455))</f>
        <v/>
      </c>
      <c r="B455" s="15"/>
      <c r="C455" s="4"/>
      <c r="D455" s="23"/>
      <c r="E455" s="15"/>
      <c r="F455" s="24" t="str">
        <f aca="false">IF(E455="","",IFERROR(INDEX('MA DVVC'!$B$4:$B$53,MATCH(E455,'MA DVVC'!$A$4:$A$53,0)),"Mã chưa có trong MA DVVC"))</f>
        <v/>
      </c>
      <c r="G455" s="12" t="str">
        <f aca="false">IF(B455="","",COUNTIF('BANG CAN'!$F$8:$F$1007,B455))</f>
        <v/>
      </c>
      <c r="H455" s="4"/>
    </row>
    <row r="456" customFormat="false" ht="15" hidden="false" customHeight="false" outlineLevel="0" collapsed="false">
      <c r="A456" s="12" t="str">
        <f aca="false">IF(B456="","",COUNTA($B$6:B456))</f>
        <v/>
      </c>
      <c r="B456" s="15"/>
      <c r="C456" s="4"/>
      <c r="D456" s="23"/>
      <c r="E456" s="15"/>
      <c r="F456" s="24" t="str">
        <f aca="false">IF(E456="","",IFERROR(INDEX('MA DVVC'!$B$4:$B$53,MATCH(E456,'MA DVVC'!$A$4:$A$53,0)),"Mã chưa có trong MA DVVC"))</f>
        <v/>
      </c>
      <c r="G456" s="12" t="str">
        <f aca="false">IF(B456="","",COUNTIF('BANG CAN'!$F$8:$F$1007,B456))</f>
        <v/>
      </c>
      <c r="H456" s="4"/>
    </row>
    <row r="457" customFormat="false" ht="15" hidden="false" customHeight="false" outlineLevel="0" collapsed="false">
      <c r="A457" s="12" t="str">
        <f aca="false">IF(B457="","",COUNTA($B$6:B457))</f>
        <v/>
      </c>
      <c r="B457" s="15"/>
      <c r="C457" s="4"/>
      <c r="D457" s="23"/>
      <c r="E457" s="15"/>
      <c r="F457" s="24" t="str">
        <f aca="false">IF(E457="","",IFERROR(INDEX('MA DVVC'!$B$4:$B$53,MATCH(E457,'MA DVVC'!$A$4:$A$53,0)),"Mã chưa có trong MA DVVC"))</f>
        <v/>
      </c>
      <c r="G457" s="12" t="str">
        <f aca="false">IF(B457="","",COUNTIF('BANG CAN'!$F$8:$F$1007,B457))</f>
        <v/>
      </c>
      <c r="H457" s="4"/>
    </row>
    <row r="458" customFormat="false" ht="15" hidden="false" customHeight="false" outlineLevel="0" collapsed="false">
      <c r="A458" s="12" t="str">
        <f aca="false">IF(B458="","",COUNTA($B$6:B458))</f>
        <v/>
      </c>
      <c r="B458" s="15"/>
      <c r="C458" s="4"/>
      <c r="D458" s="23"/>
      <c r="E458" s="15"/>
      <c r="F458" s="24" t="str">
        <f aca="false">IF(E458="","",IFERROR(INDEX('MA DVVC'!$B$4:$B$53,MATCH(E458,'MA DVVC'!$A$4:$A$53,0)),"Mã chưa có trong MA DVVC"))</f>
        <v/>
      </c>
      <c r="G458" s="12" t="str">
        <f aca="false">IF(B458="","",COUNTIF('BANG CAN'!$F$8:$F$1007,B458))</f>
        <v/>
      </c>
      <c r="H458" s="4"/>
    </row>
    <row r="459" customFormat="false" ht="15" hidden="false" customHeight="false" outlineLevel="0" collapsed="false">
      <c r="A459" s="12" t="str">
        <f aca="false">IF(B459="","",COUNTA($B$6:B459))</f>
        <v/>
      </c>
      <c r="B459" s="15"/>
      <c r="C459" s="4"/>
      <c r="D459" s="23"/>
      <c r="E459" s="15"/>
      <c r="F459" s="24" t="str">
        <f aca="false">IF(E459="","",IFERROR(INDEX('MA DVVC'!$B$4:$B$53,MATCH(E459,'MA DVVC'!$A$4:$A$53,0)),"Mã chưa có trong MA DVVC"))</f>
        <v/>
      </c>
      <c r="G459" s="12" t="str">
        <f aca="false">IF(B459="","",COUNTIF('BANG CAN'!$F$8:$F$1007,B459))</f>
        <v/>
      </c>
      <c r="H459" s="4"/>
    </row>
    <row r="460" customFormat="false" ht="15" hidden="false" customHeight="false" outlineLevel="0" collapsed="false">
      <c r="A460" s="12" t="str">
        <f aca="false">IF(B460="","",COUNTA($B$6:B460))</f>
        <v/>
      </c>
      <c r="B460" s="15"/>
      <c r="C460" s="4"/>
      <c r="D460" s="23"/>
      <c r="E460" s="15"/>
      <c r="F460" s="24" t="str">
        <f aca="false">IF(E460="","",IFERROR(INDEX('MA DVVC'!$B$4:$B$53,MATCH(E460,'MA DVVC'!$A$4:$A$53,0)),"Mã chưa có trong MA DVVC"))</f>
        <v/>
      </c>
      <c r="G460" s="12" t="str">
        <f aca="false">IF(B460="","",COUNTIF('BANG CAN'!$F$8:$F$1007,B460))</f>
        <v/>
      </c>
      <c r="H460" s="4"/>
    </row>
    <row r="461" customFormat="false" ht="15" hidden="false" customHeight="false" outlineLevel="0" collapsed="false">
      <c r="A461" s="12" t="str">
        <f aca="false">IF(B461="","",COUNTA($B$6:B461))</f>
        <v/>
      </c>
      <c r="B461" s="15"/>
      <c r="C461" s="4"/>
      <c r="D461" s="23"/>
      <c r="E461" s="15"/>
      <c r="F461" s="24" t="str">
        <f aca="false">IF(E461="","",IFERROR(INDEX('MA DVVC'!$B$4:$B$53,MATCH(E461,'MA DVVC'!$A$4:$A$53,0)),"Mã chưa có trong MA DVVC"))</f>
        <v/>
      </c>
      <c r="G461" s="12" t="str">
        <f aca="false">IF(B461="","",COUNTIF('BANG CAN'!$F$8:$F$1007,B461))</f>
        <v/>
      </c>
      <c r="H461" s="4"/>
    </row>
    <row r="462" customFormat="false" ht="15" hidden="false" customHeight="false" outlineLevel="0" collapsed="false">
      <c r="A462" s="12" t="str">
        <f aca="false">IF(B462="","",COUNTA($B$6:B462))</f>
        <v/>
      </c>
      <c r="B462" s="15"/>
      <c r="C462" s="4"/>
      <c r="D462" s="23"/>
      <c r="E462" s="15"/>
      <c r="F462" s="24" t="str">
        <f aca="false">IF(E462="","",IFERROR(INDEX('MA DVVC'!$B$4:$B$53,MATCH(E462,'MA DVVC'!$A$4:$A$53,0)),"Mã chưa có trong MA DVVC"))</f>
        <v/>
      </c>
      <c r="G462" s="12" t="str">
        <f aca="false">IF(B462="","",COUNTIF('BANG CAN'!$F$8:$F$1007,B462))</f>
        <v/>
      </c>
      <c r="H462" s="4"/>
    </row>
    <row r="463" customFormat="false" ht="15" hidden="false" customHeight="false" outlineLevel="0" collapsed="false">
      <c r="A463" s="12" t="str">
        <f aca="false">IF(B463="","",COUNTA($B$6:B463))</f>
        <v/>
      </c>
      <c r="B463" s="15"/>
      <c r="C463" s="4"/>
      <c r="D463" s="23"/>
      <c r="E463" s="15"/>
      <c r="F463" s="24" t="str">
        <f aca="false">IF(E463="","",IFERROR(INDEX('MA DVVC'!$B$4:$B$53,MATCH(E463,'MA DVVC'!$A$4:$A$53,0)),"Mã chưa có trong MA DVVC"))</f>
        <v/>
      </c>
      <c r="G463" s="12" t="str">
        <f aca="false">IF(B463="","",COUNTIF('BANG CAN'!$F$8:$F$1007,B463))</f>
        <v/>
      </c>
      <c r="H463" s="4"/>
    </row>
    <row r="464" customFormat="false" ht="15" hidden="false" customHeight="false" outlineLevel="0" collapsed="false">
      <c r="A464" s="12" t="str">
        <f aca="false">IF(B464="","",COUNTA($B$6:B464))</f>
        <v/>
      </c>
      <c r="B464" s="15"/>
      <c r="C464" s="4"/>
      <c r="D464" s="23"/>
      <c r="E464" s="15"/>
      <c r="F464" s="24" t="str">
        <f aca="false">IF(E464="","",IFERROR(INDEX('MA DVVC'!$B$4:$B$53,MATCH(E464,'MA DVVC'!$A$4:$A$53,0)),"Mã chưa có trong MA DVVC"))</f>
        <v/>
      </c>
      <c r="G464" s="12" t="str">
        <f aca="false">IF(B464="","",COUNTIF('BANG CAN'!$F$8:$F$1007,B464))</f>
        <v/>
      </c>
      <c r="H464" s="4"/>
    </row>
    <row r="465" customFormat="false" ht="15" hidden="false" customHeight="false" outlineLevel="0" collapsed="false">
      <c r="A465" s="12" t="str">
        <f aca="false">IF(B465="","",COUNTA($B$6:B465))</f>
        <v/>
      </c>
      <c r="B465" s="15"/>
      <c r="C465" s="4"/>
      <c r="D465" s="23"/>
      <c r="E465" s="15"/>
      <c r="F465" s="24" t="str">
        <f aca="false">IF(E465="","",IFERROR(INDEX('MA DVVC'!$B$4:$B$53,MATCH(E465,'MA DVVC'!$A$4:$A$53,0)),"Mã chưa có trong MA DVVC"))</f>
        <v/>
      </c>
      <c r="G465" s="12" t="str">
        <f aca="false">IF(B465="","",COUNTIF('BANG CAN'!$F$8:$F$1007,B465))</f>
        <v/>
      </c>
      <c r="H465" s="4"/>
    </row>
    <row r="466" customFormat="false" ht="15" hidden="false" customHeight="false" outlineLevel="0" collapsed="false">
      <c r="A466" s="12" t="str">
        <f aca="false">IF(B466="","",COUNTA($B$6:B466))</f>
        <v/>
      </c>
      <c r="B466" s="15"/>
      <c r="C466" s="4"/>
      <c r="D466" s="23"/>
      <c r="E466" s="15"/>
      <c r="F466" s="24" t="str">
        <f aca="false">IF(E466="","",IFERROR(INDEX('MA DVVC'!$B$4:$B$53,MATCH(E466,'MA DVVC'!$A$4:$A$53,0)),"Mã chưa có trong MA DVVC"))</f>
        <v/>
      </c>
      <c r="G466" s="12" t="str">
        <f aca="false">IF(B466="","",COUNTIF('BANG CAN'!$F$8:$F$1007,B466))</f>
        <v/>
      </c>
      <c r="H466" s="4"/>
    </row>
    <row r="467" customFormat="false" ht="15" hidden="false" customHeight="false" outlineLevel="0" collapsed="false">
      <c r="A467" s="12" t="str">
        <f aca="false">IF(B467="","",COUNTA($B$6:B467))</f>
        <v/>
      </c>
      <c r="B467" s="15"/>
      <c r="C467" s="4"/>
      <c r="D467" s="23"/>
      <c r="E467" s="15"/>
      <c r="F467" s="24" t="str">
        <f aca="false">IF(E467="","",IFERROR(INDEX('MA DVVC'!$B$4:$B$53,MATCH(E467,'MA DVVC'!$A$4:$A$53,0)),"Mã chưa có trong MA DVVC"))</f>
        <v/>
      </c>
      <c r="G467" s="12" t="str">
        <f aca="false">IF(B467="","",COUNTIF('BANG CAN'!$F$8:$F$1007,B467))</f>
        <v/>
      </c>
      <c r="H467" s="4"/>
    </row>
    <row r="468" customFormat="false" ht="15" hidden="false" customHeight="false" outlineLevel="0" collapsed="false">
      <c r="A468" s="12" t="str">
        <f aca="false">IF(B468="","",COUNTA($B$6:B468))</f>
        <v/>
      </c>
      <c r="B468" s="15"/>
      <c r="C468" s="4"/>
      <c r="D468" s="23"/>
      <c r="E468" s="15"/>
      <c r="F468" s="24" t="str">
        <f aca="false">IF(E468="","",IFERROR(INDEX('MA DVVC'!$B$4:$B$53,MATCH(E468,'MA DVVC'!$A$4:$A$53,0)),"Mã chưa có trong MA DVVC"))</f>
        <v/>
      </c>
      <c r="G468" s="12" t="str">
        <f aca="false">IF(B468="","",COUNTIF('BANG CAN'!$F$8:$F$1007,B468))</f>
        <v/>
      </c>
      <c r="H468" s="4"/>
    </row>
    <row r="469" customFormat="false" ht="15" hidden="false" customHeight="false" outlineLevel="0" collapsed="false">
      <c r="A469" s="12" t="str">
        <f aca="false">IF(B469="","",COUNTA($B$6:B469))</f>
        <v/>
      </c>
      <c r="B469" s="15"/>
      <c r="C469" s="4"/>
      <c r="D469" s="23"/>
      <c r="E469" s="15"/>
      <c r="F469" s="24" t="str">
        <f aca="false">IF(E469="","",IFERROR(INDEX('MA DVVC'!$B$4:$B$53,MATCH(E469,'MA DVVC'!$A$4:$A$53,0)),"Mã chưa có trong MA DVVC"))</f>
        <v/>
      </c>
      <c r="G469" s="12" t="str">
        <f aca="false">IF(B469="","",COUNTIF('BANG CAN'!$F$8:$F$1007,B469))</f>
        <v/>
      </c>
      <c r="H469" s="4"/>
    </row>
    <row r="470" customFormat="false" ht="15" hidden="false" customHeight="false" outlineLevel="0" collapsed="false">
      <c r="A470" s="12" t="str">
        <f aca="false">IF(B470="","",COUNTA($B$6:B470))</f>
        <v/>
      </c>
      <c r="B470" s="15"/>
      <c r="C470" s="4"/>
      <c r="D470" s="23"/>
      <c r="E470" s="15"/>
      <c r="F470" s="24" t="str">
        <f aca="false">IF(E470="","",IFERROR(INDEX('MA DVVC'!$B$4:$B$53,MATCH(E470,'MA DVVC'!$A$4:$A$53,0)),"Mã chưa có trong MA DVVC"))</f>
        <v/>
      </c>
      <c r="G470" s="12" t="str">
        <f aca="false">IF(B470="","",COUNTIF('BANG CAN'!$F$8:$F$1007,B470))</f>
        <v/>
      </c>
      <c r="H470" s="4"/>
    </row>
    <row r="471" customFormat="false" ht="15" hidden="false" customHeight="false" outlineLevel="0" collapsed="false">
      <c r="A471" s="12" t="str">
        <f aca="false">IF(B471="","",COUNTA($B$6:B471))</f>
        <v/>
      </c>
      <c r="B471" s="15"/>
      <c r="C471" s="4"/>
      <c r="D471" s="23"/>
      <c r="E471" s="15"/>
      <c r="F471" s="24" t="str">
        <f aca="false">IF(E471="","",IFERROR(INDEX('MA DVVC'!$B$4:$B$53,MATCH(E471,'MA DVVC'!$A$4:$A$53,0)),"Mã chưa có trong MA DVVC"))</f>
        <v/>
      </c>
      <c r="G471" s="12" t="str">
        <f aca="false">IF(B471="","",COUNTIF('BANG CAN'!$F$8:$F$1007,B471))</f>
        <v/>
      </c>
      <c r="H471" s="4"/>
    </row>
    <row r="472" customFormat="false" ht="15" hidden="false" customHeight="false" outlineLevel="0" collapsed="false">
      <c r="A472" s="12" t="str">
        <f aca="false">IF(B472="","",COUNTA($B$6:B472))</f>
        <v/>
      </c>
      <c r="B472" s="15"/>
      <c r="C472" s="4"/>
      <c r="D472" s="23"/>
      <c r="E472" s="15"/>
      <c r="F472" s="24" t="str">
        <f aca="false">IF(E472="","",IFERROR(INDEX('MA DVVC'!$B$4:$B$53,MATCH(E472,'MA DVVC'!$A$4:$A$53,0)),"Mã chưa có trong MA DVVC"))</f>
        <v/>
      </c>
      <c r="G472" s="12" t="str">
        <f aca="false">IF(B472="","",COUNTIF('BANG CAN'!$F$8:$F$1007,B472))</f>
        <v/>
      </c>
      <c r="H472" s="4"/>
    </row>
    <row r="473" customFormat="false" ht="15" hidden="false" customHeight="false" outlineLevel="0" collapsed="false">
      <c r="A473" s="12" t="str">
        <f aca="false">IF(B473="","",COUNTA($B$6:B473))</f>
        <v/>
      </c>
      <c r="B473" s="15"/>
      <c r="C473" s="4"/>
      <c r="D473" s="23"/>
      <c r="E473" s="15"/>
      <c r="F473" s="24" t="str">
        <f aca="false">IF(E473="","",IFERROR(INDEX('MA DVVC'!$B$4:$B$53,MATCH(E473,'MA DVVC'!$A$4:$A$53,0)),"Mã chưa có trong MA DVVC"))</f>
        <v/>
      </c>
      <c r="G473" s="12" t="str">
        <f aca="false">IF(B473="","",COUNTIF('BANG CAN'!$F$8:$F$1007,B473))</f>
        <v/>
      </c>
      <c r="H473" s="4"/>
    </row>
    <row r="474" customFormat="false" ht="15" hidden="false" customHeight="false" outlineLevel="0" collapsed="false">
      <c r="A474" s="12" t="str">
        <f aca="false">IF(B474="","",COUNTA($B$6:B474))</f>
        <v/>
      </c>
      <c r="B474" s="15"/>
      <c r="C474" s="4"/>
      <c r="D474" s="23"/>
      <c r="E474" s="15"/>
      <c r="F474" s="24" t="str">
        <f aca="false">IF(E474="","",IFERROR(INDEX('MA DVVC'!$B$4:$B$53,MATCH(E474,'MA DVVC'!$A$4:$A$53,0)),"Mã chưa có trong MA DVVC"))</f>
        <v/>
      </c>
      <c r="G474" s="12" t="str">
        <f aca="false">IF(B474="","",COUNTIF('BANG CAN'!$F$8:$F$1007,B474))</f>
        <v/>
      </c>
      <c r="H474" s="4"/>
    </row>
    <row r="475" customFormat="false" ht="15" hidden="false" customHeight="false" outlineLevel="0" collapsed="false">
      <c r="A475" s="12" t="str">
        <f aca="false">IF(B475="","",COUNTA($B$6:B475))</f>
        <v/>
      </c>
      <c r="B475" s="15"/>
      <c r="C475" s="4"/>
      <c r="D475" s="23"/>
      <c r="E475" s="15"/>
      <c r="F475" s="24" t="str">
        <f aca="false">IF(E475="","",IFERROR(INDEX('MA DVVC'!$B$4:$B$53,MATCH(E475,'MA DVVC'!$A$4:$A$53,0)),"Mã chưa có trong MA DVVC"))</f>
        <v/>
      </c>
      <c r="G475" s="12" t="str">
        <f aca="false">IF(B475="","",COUNTIF('BANG CAN'!$F$8:$F$1007,B475))</f>
        <v/>
      </c>
      <c r="H475" s="4"/>
    </row>
    <row r="476" customFormat="false" ht="15" hidden="false" customHeight="false" outlineLevel="0" collapsed="false">
      <c r="A476" s="12" t="str">
        <f aca="false">IF(B476="","",COUNTA($B$6:B476))</f>
        <v/>
      </c>
      <c r="B476" s="15"/>
      <c r="C476" s="4"/>
      <c r="D476" s="23"/>
      <c r="E476" s="15"/>
      <c r="F476" s="24" t="str">
        <f aca="false">IF(E476="","",IFERROR(INDEX('MA DVVC'!$B$4:$B$53,MATCH(E476,'MA DVVC'!$A$4:$A$53,0)),"Mã chưa có trong MA DVVC"))</f>
        <v/>
      </c>
      <c r="G476" s="12" t="str">
        <f aca="false">IF(B476="","",COUNTIF('BANG CAN'!$F$8:$F$1007,B476))</f>
        <v/>
      </c>
      <c r="H476" s="4"/>
    </row>
    <row r="477" customFormat="false" ht="15" hidden="false" customHeight="false" outlineLevel="0" collapsed="false">
      <c r="A477" s="12" t="str">
        <f aca="false">IF(B477="","",COUNTA($B$6:B477))</f>
        <v/>
      </c>
      <c r="B477" s="15"/>
      <c r="C477" s="4"/>
      <c r="D477" s="23"/>
      <c r="E477" s="15"/>
      <c r="F477" s="24" t="str">
        <f aca="false">IF(E477="","",IFERROR(INDEX('MA DVVC'!$B$4:$B$53,MATCH(E477,'MA DVVC'!$A$4:$A$53,0)),"Mã chưa có trong MA DVVC"))</f>
        <v/>
      </c>
      <c r="G477" s="12" t="str">
        <f aca="false">IF(B477="","",COUNTIF('BANG CAN'!$F$8:$F$1007,B477))</f>
        <v/>
      </c>
      <c r="H477" s="4"/>
    </row>
    <row r="478" customFormat="false" ht="15" hidden="false" customHeight="false" outlineLevel="0" collapsed="false">
      <c r="A478" s="12" t="str">
        <f aca="false">IF(B478="","",COUNTA($B$6:B478))</f>
        <v/>
      </c>
      <c r="B478" s="15"/>
      <c r="C478" s="4"/>
      <c r="D478" s="23"/>
      <c r="E478" s="15"/>
      <c r="F478" s="24" t="str">
        <f aca="false">IF(E478="","",IFERROR(INDEX('MA DVVC'!$B$4:$B$53,MATCH(E478,'MA DVVC'!$A$4:$A$53,0)),"Mã chưa có trong MA DVVC"))</f>
        <v/>
      </c>
      <c r="G478" s="12" t="str">
        <f aca="false">IF(B478="","",COUNTIF('BANG CAN'!$F$8:$F$1007,B478))</f>
        <v/>
      </c>
      <c r="H478" s="4"/>
    </row>
    <row r="479" customFormat="false" ht="15" hidden="false" customHeight="false" outlineLevel="0" collapsed="false">
      <c r="A479" s="12" t="str">
        <f aca="false">IF(B479="","",COUNTA($B$6:B479))</f>
        <v/>
      </c>
      <c r="B479" s="15"/>
      <c r="C479" s="4"/>
      <c r="D479" s="23"/>
      <c r="E479" s="15"/>
      <c r="F479" s="24" t="str">
        <f aca="false">IF(E479="","",IFERROR(INDEX('MA DVVC'!$B$4:$B$53,MATCH(E479,'MA DVVC'!$A$4:$A$53,0)),"Mã chưa có trong MA DVVC"))</f>
        <v/>
      </c>
      <c r="G479" s="12" t="str">
        <f aca="false">IF(B479="","",COUNTIF('BANG CAN'!$F$8:$F$1007,B479))</f>
        <v/>
      </c>
      <c r="H479" s="4"/>
    </row>
    <row r="480" customFormat="false" ht="15" hidden="false" customHeight="false" outlineLevel="0" collapsed="false">
      <c r="A480" s="12" t="str">
        <f aca="false">IF(B480="","",COUNTA($B$6:B480))</f>
        <v/>
      </c>
      <c r="B480" s="15"/>
      <c r="C480" s="4"/>
      <c r="D480" s="23"/>
      <c r="E480" s="15"/>
      <c r="F480" s="24" t="str">
        <f aca="false">IF(E480="","",IFERROR(INDEX('MA DVVC'!$B$4:$B$53,MATCH(E480,'MA DVVC'!$A$4:$A$53,0)),"Mã chưa có trong MA DVVC"))</f>
        <v/>
      </c>
      <c r="G480" s="12" t="str">
        <f aca="false">IF(B480="","",COUNTIF('BANG CAN'!$F$8:$F$1007,B480))</f>
        <v/>
      </c>
      <c r="H480" s="4"/>
    </row>
    <row r="481" customFormat="false" ht="15" hidden="false" customHeight="false" outlineLevel="0" collapsed="false">
      <c r="A481" s="12" t="str">
        <f aca="false">IF(B481="","",COUNTA($B$6:B481))</f>
        <v/>
      </c>
      <c r="B481" s="15"/>
      <c r="C481" s="4"/>
      <c r="D481" s="23"/>
      <c r="E481" s="15"/>
      <c r="F481" s="24" t="str">
        <f aca="false">IF(E481="","",IFERROR(INDEX('MA DVVC'!$B$4:$B$53,MATCH(E481,'MA DVVC'!$A$4:$A$53,0)),"Mã chưa có trong MA DVVC"))</f>
        <v/>
      </c>
      <c r="G481" s="12" t="str">
        <f aca="false">IF(B481="","",COUNTIF('BANG CAN'!$F$8:$F$1007,B481))</f>
        <v/>
      </c>
      <c r="H481" s="4"/>
    </row>
    <row r="482" customFormat="false" ht="15" hidden="false" customHeight="false" outlineLevel="0" collapsed="false">
      <c r="A482" s="12" t="str">
        <f aca="false">IF(B482="","",COUNTA($B$6:B482))</f>
        <v/>
      </c>
      <c r="B482" s="15"/>
      <c r="C482" s="4"/>
      <c r="D482" s="23"/>
      <c r="E482" s="15"/>
      <c r="F482" s="24" t="str">
        <f aca="false">IF(E482="","",IFERROR(INDEX('MA DVVC'!$B$4:$B$53,MATCH(E482,'MA DVVC'!$A$4:$A$53,0)),"Mã chưa có trong MA DVVC"))</f>
        <v/>
      </c>
      <c r="G482" s="12" t="str">
        <f aca="false">IF(B482="","",COUNTIF('BANG CAN'!$F$8:$F$1007,B482))</f>
        <v/>
      </c>
      <c r="H482" s="4"/>
    </row>
    <row r="483" customFormat="false" ht="15" hidden="false" customHeight="false" outlineLevel="0" collapsed="false">
      <c r="A483" s="12" t="str">
        <f aca="false">IF(B483="","",COUNTA($B$6:B483))</f>
        <v/>
      </c>
      <c r="B483" s="15"/>
      <c r="C483" s="4"/>
      <c r="D483" s="23"/>
      <c r="E483" s="15"/>
      <c r="F483" s="24" t="str">
        <f aca="false">IF(E483="","",IFERROR(INDEX('MA DVVC'!$B$4:$B$53,MATCH(E483,'MA DVVC'!$A$4:$A$53,0)),"Mã chưa có trong MA DVVC"))</f>
        <v/>
      </c>
      <c r="G483" s="12" t="str">
        <f aca="false">IF(B483="","",COUNTIF('BANG CAN'!$F$8:$F$1007,B483))</f>
        <v/>
      </c>
      <c r="H483" s="4"/>
    </row>
    <row r="484" customFormat="false" ht="15" hidden="false" customHeight="false" outlineLevel="0" collapsed="false">
      <c r="A484" s="12" t="str">
        <f aca="false">IF(B484="","",COUNTA($B$6:B484))</f>
        <v/>
      </c>
      <c r="B484" s="15"/>
      <c r="C484" s="4"/>
      <c r="D484" s="23"/>
      <c r="E484" s="15"/>
      <c r="F484" s="24" t="str">
        <f aca="false">IF(E484="","",IFERROR(INDEX('MA DVVC'!$B$4:$B$53,MATCH(E484,'MA DVVC'!$A$4:$A$53,0)),"Mã chưa có trong MA DVVC"))</f>
        <v/>
      </c>
      <c r="G484" s="12" t="str">
        <f aca="false">IF(B484="","",COUNTIF('BANG CAN'!$F$8:$F$1007,B484))</f>
        <v/>
      </c>
      <c r="H484" s="4"/>
    </row>
    <row r="485" customFormat="false" ht="15" hidden="false" customHeight="false" outlineLevel="0" collapsed="false">
      <c r="A485" s="12" t="str">
        <f aca="false">IF(B485="","",COUNTA($B$6:B485))</f>
        <v/>
      </c>
      <c r="B485" s="15"/>
      <c r="C485" s="4"/>
      <c r="D485" s="23"/>
      <c r="E485" s="15"/>
      <c r="F485" s="24" t="str">
        <f aca="false">IF(E485="","",IFERROR(INDEX('MA DVVC'!$B$4:$B$53,MATCH(E485,'MA DVVC'!$A$4:$A$53,0)),"Mã chưa có trong MA DVVC"))</f>
        <v/>
      </c>
      <c r="G485" s="12" t="str">
        <f aca="false">IF(B485="","",COUNTIF('BANG CAN'!$F$8:$F$1007,B485))</f>
        <v/>
      </c>
      <c r="H485" s="4"/>
    </row>
    <row r="486" customFormat="false" ht="15" hidden="false" customHeight="false" outlineLevel="0" collapsed="false">
      <c r="A486" s="12" t="str">
        <f aca="false">IF(B486="","",COUNTA($B$6:B486))</f>
        <v/>
      </c>
      <c r="B486" s="15"/>
      <c r="C486" s="4"/>
      <c r="D486" s="23"/>
      <c r="E486" s="15"/>
      <c r="F486" s="24" t="str">
        <f aca="false">IF(E486="","",IFERROR(INDEX('MA DVVC'!$B$4:$B$53,MATCH(E486,'MA DVVC'!$A$4:$A$53,0)),"Mã chưa có trong MA DVVC"))</f>
        <v/>
      </c>
      <c r="G486" s="12" t="str">
        <f aca="false">IF(B486="","",COUNTIF('BANG CAN'!$F$8:$F$1007,B486))</f>
        <v/>
      </c>
      <c r="H486" s="4"/>
    </row>
    <row r="487" customFormat="false" ht="15" hidden="false" customHeight="false" outlineLevel="0" collapsed="false">
      <c r="A487" s="12" t="str">
        <f aca="false">IF(B487="","",COUNTA($B$6:B487))</f>
        <v/>
      </c>
      <c r="B487" s="15"/>
      <c r="C487" s="4"/>
      <c r="D487" s="23"/>
      <c r="E487" s="15"/>
      <c r="F487" s="24" t="str">
        <f aca="false">IF(E487="","",IFERROR(INDEX('MA DVVC'!$B$4:$B$53,MATCH(E487,'MA DVVC'!$A$4:$A$53,0)),"Mã chưa có trong MA DVVC"))</f>
        <v/>
      </c>
      <c r="G487" s="12" t="str">
        <f aca="false">IF(B487="","",COUNTIF('BANG CAN'!$F$8:$F$1007,B487))</f>
        <v/>
      </c>
      <c r="H487" s="4"/>
    </row>
    <row r="488" customFormat="false" ht="15" hidden="false" customHeight="false" outlineLevel="0" collapsed="false">
      <c r="A488" s="12" t="str">
        <f aca="false">IF(B488="","",COUNTA($B$6:B488))</f>
        <v/>
      </c>
      <c r="B488" s="15"/>
      <c r="C488" s="4"/>
      <c r="D488" s="23"/>
      <c r="E488" s="15"/>
      <c r="F488" s="24" t="str">
        <f aca="false">IF(E488="","",IFERROR(INDEX('MA DVVC'!$B$4:$B$53,MATCH(E488,'MA DVVC'!$A$4:$A$53,0)),"Mã chưa có trong MA DVVC"))</f>
        <v/>
      </c>
      <c r="G488" s="12" t="str">
        <f aca="false">IF(B488="","",COUNTIF('BANG CAN'!$F$8:$F$1007,B488))</f>
        <v/>
      </c>
      <c r="H488" s="4"/>
    </row>
    <row r="489" customFormat="false" ht="15" hidden="false" customHeight="false" outlineLevel="0" collapsed="false">
      <c r="A489" s="12" t="str">
        <f aca="false">IF(B489="","",COUNTA($B$6:B489))</f>
        <v/>
      </c>
      <c r="B489" s="15"/>
      <c r="C489" s="4"/>
      <c r="D489" s="23"/>
      <c r="E489" s="15"/>
      <c r="F489" s="24" t="str">
        <f aca="false">IF(E489="","",IFERROR(INDEX('MA DVVC'!$B$4:$B$53,MATCH(E489,'MA DVVC'!$A$4:$A$53,0)),"Mã chưa có trong MA DVVC"))</f>
        <v/>
      </c>
      <c r="G489" s="12" t="str">
        <f aca="false">IF(B489="","",COUNTIF('BANG CAN'!$F$8:$F$1007,B489))</f>
        <v/>
      </c>
      <c r="H489" s="4"/>
    </row>
    <row r="490" customFormat="false" ht="15" hidden="false" customHeight="false" outlineLevel="0" collapsed="false">
      <c r="A490" s="12" t="str">
        <f aca="false">IF(B490="","",COUNTA($B$6:B490))</f>
        <v/>
      </c>
      <c r="B490" s="15"/>
      <c r="C490" s="4"/>
      <c r="D490" s="23"/>
      <c r="E490" s="15"/>
      <c r="F490" s="24" t="str">
        <f aca="false">IF(E490="","",IFERROR(INDEX('MA DVVC'!$B$4:$B$53,MATCH(E490,'MA DVVC'!$A$4:$A$53,0)),"Mã chưa có trong MA DVVC"))</f>
        <v/>
      </c>
      <c r="G490" s="12" t="str">
        <f aca="false">IF(B490="","",COUNTIF('BANG CAN'!$F$8:$F$1007,B490))</f>
        <v/>
      </c>
      <c r="H490" s="4"/>
    </row>
    <row r="491" customFormat="false" ht="15" hidden="false" customHeight="false" outlineLevel="0" collapsed="false">
      <c r="A491" s="12" t="str">
        <f aca="false">IF(B491="","",COUNTA($B$6:B491))</f>
        <v/>
      </c>
      <c r="B491" s="15"/>
      <c r="C491" s="4"/>
      <c r="D491" s="23"/>
      <c r="E491" s="15"/>
      <c r="F491" s="24" t="str">
        <f aca="false">IF(E491="","",IFERROR(INDEX('MA DVVC'!$B$4:$B$53,MATCH(E491,'MA DVVC'!$A$4:$A$53,0)),"Mã chưa có trong MA DVVC"))</f>
        <v/>
      </c>
      <c r="G491" s="12" t="str">
        <f aca="false">IF(B491="","",COUNTIF('BANG CAN'!$F$8:$F$1007,B491))</f>
        <v/>
      </c>
      <c r="H491" s="4"/>
    </row>
    <row r="492" customFormat="false" ht="15" hidden="false" customHeight="false" outlineLevel="0" collapsed="false">
      <c r="A492" s="12" t="str">
        <f aca="false">IF(B492="","",COUNTA($B$6:B492))</f>
        <v/>
      </c>
      <c r="B492" s="15"/>
      <c r="C492" s="4"/>
      <c r="D492" s="23"/>
      <c r="E492" s="15"/>
      <c r="F492" s="24" t="str">
        <f aca="false">IF(E492="","",IFERROR(INDEX('MA DVVC'!$B$4:$B$53,MATCH(E492,'MA DVVC'!$A$4:$A$53,0)),"Mã chưa có trong MA DVVC"))</f>
        <v/>
      </c>
      <c r="G492" s="12" t="str">
        <f aca="false">IF(B492="","",COUNTIF('BANG CAN'!$F$8:$F$1007,B492))</f>
        <v/>
      </c>
      <c r="H492" s="4"/>
    </row>
    <row r="493" customFormat="false" ht="15" hidden="false" customHeight="false" outlineLevel="0" collapsed="false">
      <c r="A493" s="12" t="str">
        <f aca="false">IF(B493="","",COUNTA($B$6:B493))</f>
        <v/>
      </c>
      <c r="B493" s="15"/>
      <c r="C493" s="4"/>
      <c r="D493" s="23"/>
      <c r="E493" s="15"/>
      <c r="F493" s="24" t="str">
        <f aca="false">IF(E493="","",IFERROR(INDEX('MA DVVC'!$B$4:$B$53,MATCH(E493,'MA DVVC'!$A$4:$A$53,0)),"Mã chưa có trong MA DVVC"))</f>
        <v/>
      </c>
      <c r="G493" s="12" t="str">
        <f aca="false">IF(B493="","",COUNTIF('BANG CAN'!$F$8:$F$1007,B493))</f>
        <v/>
      </c>
      <c r="H493" s="4"/>
    </row>
    <row r="494" customFormat="false" ht="15" hidden="false" customHeight="false" outlineLevel="0" collapsed="false">
      <c r="A494" s="12" t="str">
        <f aca="false">IF(B494="","",COUNTA($B$6:B494))</f>
        <v/>
      </c>
      <c r="B494" s="15"/>
      <c r="C494" s="4"/>
      <c r="D494" s="23"/>
      <c r="E494" s="15"/>
      <c r="F494" s="24" t="str">
        <f aca="false">IF(E494="","",IFERROR(INDEX('MA DVVC'!$B$4:$B$53,MATCH(E494,'MA DVVC'!$A$4:$A$53,0)),"Mã chưa có trong MA DVVC"))</f>
        <v/>
      </c>
      <c r="G494" s="12" t="str">
        <f aca="false">IF(B494="","",COUNTIF('BANG CAN'!$F$8:$F$1007,B494))</f>
        <v/>
      </c>
      <c r="H494" s="4"/>
    </row>
    <row r="495" customFormat="false" ht="15" hidden="false" customHeight="false" outlineLevel="0" collapsed="false">
      <c r="A495" s="12" t="str">
        <f aca="false">IF(B495="","",COUNTA($B$6:B495))</f>
        <v/>
      </c>
      <c r="B495" s="15"/>
      <c r="C495" s="4"/>
      <c r="D495" s="23"/>
      <c r="E495" s="15"/>
      <c r="F495" s="24" t="str">
        <f aca="false">IF(E495="","",IFERROR(INDEX('MA DVVC'!$B$4:$B$53,MATCH(E495,'MA DVVC'!$A$4:$A$53,0)),"Mã chưa có trong MA DVVC"))</f>
        <v/>
      </c>
      <c r="G495" s="12" t="str">
        <f aca="false">IF(B495="","",COUNTIF('BANG CAN'!$F$8:$F$1007,B495))</f>
        <v/>
      </c>
      <c r="H495" s="4"/>
    </row>
    <row r="496" customFormat="false" ht="15" hidden="false" customHeight="false" outlineLevel="0" collapsed="false">
      <c r="A496" s="12" t="str">
        <f aca="false">IF(B496="","",COUNTA($B$6:B496))</f>
        <v/>
      </c>
      <c r="B496" s="15"/>
      <c r="C496" s="4"/>
      <c r="D496" s="23"/>
      <c r="E496" s="15"/>
      <c r="F496" s="24" t="str">
        <f aca="false">IF(E496="","",IFERROR(INDEX('MA DVVC'!$B$4:$B$53,MATCH(E496,'MA DVVC'!$A$4:$A$53,0)),"Mã chưa có trong MA DVVC"))</f>
        <v/>
      </c>
      <c r="G496" s="12" t="str">
        <f aca="false">IF(B496="","",COUNTIF('BANG CAN'!$F$8:$F$1007,B496))</f>
        <v/>
      </c>
      <c r="H496" s="4"/>
    </row>
    <row r="497" customFormat="false" ht="15" hidden="false" customHeight="false" outlineLevel="0" collapsed="false">
      <c r="A497" s="12" t="str">
        <f aca="false">IF(B497="","",COUNTA($B$6:B497))</f>
        <v/>
      </c>
      <c r="B497" s="15"/>
      <c r="C497" s="4"/>
      <c r="D497" s="23"/>
      <c r="E497" s="15"/>
      <c r="F497" s="24" t="str">
        <f aca="false">IF(E497="","",IFERROR(INDEX('MA DVVC'!$B$4:$B$53,MATCH(E497,'MA DVVC'!$A$4:$A$53,0)),"Mã chưa có trong MA DVVC"))</f>
        <v/>
      </c>
      <c r="G497" s="12" t="str">
        <f aca="false">IF(B497="","",COUNTIF('BANG CAN'!$F$8:$F$1007,B497))</f>
        <v/>
      </c>
      <c r="H497" s="4"/>
    </row>
    <row r="498" customFormat="false" ht="15" hidden="false" customHeight="false" outlineLevel="0" collapsed="false">
      <c r="A498" s="12" t="str">
        <f aca="false">IF(B498="","",COUNTA($B$6:B498))</f>
        <v/>
      </c>
      <c r="B498" s="15"/>
      <c r="C498" s="4"/>
      <c r="D498" s="23"/>
      <c r="E498" s="15"/>
      <c r="F498" s="24" t="str">
        <f aca="false">IF(E498="","",IFERROR(INDEX('MA DVVC'!$B$4:$B$53,MATCH(E498,'MA DVVC'!$A$4:$A$53,0)),"Mã chưa có trong MA DVVC"))</f>
        <v/>
      </c>
      <c r="G498" s="12" t="str">
        <f aca="false">IF(B498="","",COUNTIF('BANG CAN'!$F$8:$F$1007,B498))</f>
        <v/>
      </c>
      <c r="H498" s="4"/>
    </row>
    <row r="499" customFormat="false" ht="15" hidden="false" customHeight="false" outlineLevel="0" collapsed="false">
      <c r="A499" s="12" t="str">
        <f aca="false">IF(B499="","",COUNTA($B$6:B499))</f>
        <v/>
      </c>
      <c r="B499" s="15"/>
      <c r="C499" s="4"/>
      <c r="D499" s="23"/>
      <c r="E499" s="15"/>
      <c r="F499" s="24" t="str">
        <f aca="false">IF(E499="","",IFERROR(INDEX('MA DVVC'!$B$4:$B$53,MATCH(E499,'MA DVVC'!$A$4:$A$53,0)),"Mã chưa có trong MA DVVC"))</f>
        <v/>
      </c>
      <c r="G499" s="12" t="str">
        <f aca="false">IF(B499="","",COUNTIF('BANG CAN'!$F$8:$F$1007,B499))</f>
        <v/>
      </c>
      <c r="H499" s="4"/>
    </row>
    <row r="500" customFormat="false" ht="15" hidden="false" customHeight="false" outlineLevel="0" collapsed="false">
      <c r="A500" s="12" t="str">
        <f aca="false">IF(B500="","",COUNTA($B$6:B500))</f>
        <v/>
      </c>
      <c r="B500" s="15"/>
      <c r="C500" s="4"/>
      <c r="D500" s="23"/>
      <c r="E500" s="15"/>
      <c r="F500" s="24" t="str">
        <f aca="false">IF(E500="","",IFERROR(INDEX('MA DVVC'!$B$4:$B$53,MATCH(E500,'MA DVVC'!$A$4:$A$53,0)),"Mã chưa có trong MA DVVC"))</f>
        <v/>
      </c>
      <c r="G500" s="12" t="str">
        <f aca="false">IF(B500="","",COUNTIF('BANG CAN'!$F$8:$F$1007,B500))</f>
        <v/>
      </c>
      <c r="H500" s="4"/>
    </row>
    <row r="501" customFormat="false" ht="15" hidden="false" customHeight="false" outlineLevel="0" collapsed="false">
      <c r="A501" s="12" t="str">
        <f aca="false">IF(B501="","",COUNTA($B$6:B501))</f>
        <v/>
      </c>
      <c r="B501" s="15"/>
      <c r="C501" s="4"/>
      <c r="D501" s="23"/>
      <c r="E501" s="15"/>
      <c r="F501" s="24" t="str">
        <f aca="false">IF(E501="","",IFERROR(INDEX('MA DVVC'!$B$4:$B$53,MATCH(E501,'MA DVVC'!$A$4:$A$53,0)),"Mã chưa có trong MA DVVC"))</f>
        <v/>
      </c>
      <c r="G501" s="12" t="str">
        <f aca="false">IF(B501="","",COUNTIF('BANG CAN'!$F$8:$F$1007,B501))</f>
        <v/>
      </c>
      <c r="H501" s="4"/>
    </row>
    <row r="502" customFormat="false" ht="15" hidden="false" customHeight="false" outlineLevel="0" collapsed="false">
      <c r="A502" s="12" t="str">
        <f aca="false">IF(B502="","",COUNTA($B$6:B502))</f>
        <v/>
      </c>
      <c r="B502" s="15"/>
      <c r="C502" s="4"/>
      <c r="D502" s="23"/>
      <c r="E502" s="15"/>
      <c r="F502" s="24" t="str">
        <f aca="false">IF(E502="","",IFERROR(INDEX('MA DVVC'!$B$4:$B$53,MATCH(E502,'MA DVVC'!$A$4:$A$53,0)),"Mã chưa có trong MA DVVC"))</f>
        <v/>
      </c>
      <c r="G502" s="12" t="str">
        <f aca="false">IF(B502="","",COUNTIF('BANG CAN'!$F$8:$F$1007,B502))</f>
        <v/>
      </c>
      <c r="H502" s="4"/>
    </row>
    <row r="503" customFormat="false" ht="15" hidden="false" customHeight="false" outlineLevel="0" collapsed="false">
      <c r="A503" s="12" t="str">
        <f aca="false">IF(B503="","",COUNTA($B$6:B503))</f>
        <v/>
      </c>
      <c r="B503" s="15"/>
      <c r="C503" s="4"/>
      <c r="D503" s="23"/>
      <c r="E503" s="15"/>
      <c r="F503" s="24" t="str">
        <f aca="false">IF(E503="","",IFERROR(INDEX('MA DVVC'!$B$4:$B$53,MATCH(E503,'MA DVVC'!$A$4:$A$53,0)),"Mã chưa có trong MA DVVC"))</f>
        <v/>
      </c>
      <c r="G503" s="12" t="str">
        <f aca="false">IF(B503="","",COUNTIF('BANG CAN'!$F$8:$F$1007,B503))</f>
        <v/>
      </c>
      <c r="H503" s="4"/>
    </row>
    <row r="504" customFormat="false" ht="15" hidden="false" customHeight="false" outlineLevel="0" collapsed="false">
      <c r="A504" s="12" t="str">
        <f aca="false">IF(B504="","",COUNTA($B$6:B504))</f>
        <v/>
      </c>
      <c r="B504" s="15"/>
      <c r="C504" s="4"/>
      <c r="D504" s="23"/>
      <c r="E504" s="15"/>
      <c r="F504" s="24" t="str">
        <f aca="false">IF(E504="","",IFERROR(INDEX('MA DVVC'!$B$4:$B$53,MATCH(E504,'MA DVVC'!$A$4:$A$53,0)),"Mã chưa có trong MA DVVC"))</f>
        <v/>
      </c>
      <c r="G504" s="12" t="str">
        <f aca="false">IF(B504="","",COUNTIF('BANG CAN'!$F$8:$F$1007,B504))</f>
        <v/>
      </c>
      <c r="H504" s="4"/>
    </row>
    <row r="505" customFormat="false" ht="15" hidden="false" customHeight="false" outlineLevel="0" collapsed="false">
      <c r="A505" s="12" t="str">
        <f aca="false">IF(B505="","",COUNTA($B$6:B505))</f>
        <v/>
      </c>
      <c r="B505" s="15"/>
      <c r="C505" s="4"/>
      <c r="D505" s="23"/>
      <c r="E505" s="15"/>
      <c r="F505" s="24" t="str">
        <f aca="false">IF(E505="","",IFERROR(INDEX('MA DVVC'!$B$4:$B$53,MATCH(E505,'MA DVVC'!$A$4:$A$53,0)),"Mã chưa có trong MA DVVC"))</f>
        <v/>
      </c>
      <c r="G505" s="12" t="str">
        <f aca="false">IF(B505="","",COUNTIF('BANG CAN'!$F$8:$F$1007,B505))</f>
        <v/>
      </c>
      <c r="H505" s="4"/>
    </row>
  </sheetData>
  <autoFilter ref="A5:H505"/>
  <mergeCells count="3">
    <mergeCell ref="A1:H1"/>
    <mergeCell ref="A2:H2"/>
    <mergeCell ref="C3:F3"/>
  </mergeCells>
  <conditionalFormatting sqref="B6:B505">
    <cfRule type="expression" priority="2" aboveAverage="0" equalAverage="0" bottom="0" percent="0" rank="0" text="" dxfId="7">
      <formula>AND(B6&lt;&gt;"",COUNTIF($B$6:$B$505,B6)&gt;1)</formula>
    </cfRule>
  </conditionalFormatting>
  <conditionalFormatting sqref="F6:F505">
    <cfRule type="expression" priority="3" aboveAverage="0" equalAverage="0" bottom="0" percent="0" rank="0" text="" dxfId="9">
      <formula>LEFT(F6,3)="Mã "</formula>
    </cfRule>
  </conditionalFormatting>
  <conditionalFormatting sqref="G6:G505">
    <cfRule type="expression" priority="4" aboveAverage="0" equalAverage="0" bottom="0" percent="0" rank="0" text="" dxfId="10">
      <formula>G6=0</formula>
    </cfRule>
  </conditionalFormatting>
  <dataValidations count="2">
    <dataValidation allowBlank="true" error="Mã này chưa có trong sheet &quot;MA DVVC&quot;. Bổ sung mã ở sheet đó (và trong app: Cài đặt → Mã ĐVVC)." errorStyle="warning" errorTitle="Mã ĐVVC" operator="between" showDropDown="false" showErrorMessage="true" showInputMessage="false" sqref="E6:E505" type="list">
      <formula1>'MA DVVC'!$A$4:$A$53</formula1>
      <formula2>0</formula2>
    </dataValidation>
    <dataValidation allowBlank="true" error="Biển số này đã có trong danh sách — mỗi xe chỉ 1 dòng." errorStyle="warning" errorTitle="Biển số trùng" operator="between" showDropDown="false" showErrorMessage="true" showInputMessage="false" sqref="B6:B505" type="custom">
      <formula1>COUNTIF($B$6:$B$505,B6)=1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&amp;CTrang &amp;P /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8E96"/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</cols>
  <sheetData>
    <row r="1" customFormat="false" ht="17.35" hidden="false" customHeight="false" outlineLevel="0" collapsed="false">
      <c r="A1" s="25" t="s">
        <v>32</v>
      </c>
      <c r="B1" s="25"/>
    </row>
    <row r="2" customFormat="false" ht="15" hidden="false" customHeight="false" outlineLevel="0" collapsed="false">
      <c r="A2" s="26" t="s">
        <v>33</v>
      </c>
      <c r="B2" s="26"/>
    </row>
    <row r="3" customFormat="false" ht="15" hidden="false" customHeight="false" outlineLevel="0" collapsed="false">
      <c r="A3" s="22" t="s">
        <v>29</v>
      </c>
      <c r="B3" s="22" t="s">
        <v>30</v>
      </c>
    </row>
    <row r="4" customFormat="false" ht="15" hidden="false" customHeight="false" outlineLevel="0" collapsed="false">
      <c r="A4" s="4" t="s">
        <v>34</v>
      </c>
      <c r="B4" s="4" t="s">
        <v>35</v>
      </c>
    </row>
    <row r="5" customFormat="false" ht="15" hidden="false" customHeight="false" outlineLevel="0" collapsed="false">
      <c r="A5" s="4" t="s">
        <v>36</v>
      </c>
      <c r="B5" s="4" t="s">
        <v>37</v>
      </c>
    </row>
    <row r="6" customFormat="false" ht="15" hidden="false" customHeight="false" outlineLevel="0" collapsed="false">
      <c r="A6" s="4" t="s">
        <v>38</v>
      </c>
      <c r="B6" s="4" t="s">
        <v>39</v>
      </c>
    </row>
    <row r="7" customFormat="false" ht="15" hidden="false" customHeight="false" outlineLevel="0" collapsed="false">
      <c r="A7" s="4" t="s">
        <v>40</v>
      </c>
      <c r="B7" s="4" t="s">
        <v>41</v>
      </c>
    </row>
    <row r="8" customFormat="false" ht="15" hidden="false" customHeight="false" outlineLevel="0" collapsed="false">
      <c r="A8" s="4"/>
      <c r="B8" s="4"/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4"/>
      <c r="B11" s="4"/>
    </row>
    <row r="12" customFormat="false" ht="15" hidden="false" customHeight="false" outlineLevel="0" collapsed="false">
      <c r="A12" s="4"/>
      <c r="B12" s="4"/>
    </row>
    <row r="13" customFormat="false" ht="15" hidden="false" customHeight="false" outlineLevel="0" collapsed="false">
      <c r="A13" s="4"/>
      <c r="B13" s="4"/>
    </row>
    <row r="14" customFormat="false" ht="15" hidden="false" customHeight="false" outlineLevel="0" collapsed="false">
      <c r="A14" s="4"/>
      <c r="B14" s="4"/>
    </row>
    <row r="15" customFormat="false" ht="15" hidden="false" customHeight="false" outlineLevel="0" collapsed="false">
      <c r="A15" s="4"/>
      <c r="B15" s="4"/>
    </row>
    <row r="16" customFormat="false" ht="15" hidden="false" customHeight="false" outlineLevel="0" collapsed="false">
      <c r="A16" s="4"/>
      <c r="B16" s="4"/>
    </row>
    <row r="17" customFormat="false" ht="15" hidden="false" customHeight="false" outlineLevel="0" collapsed="false">
      <c r="A17" s="4"/>
      <c r="B17" s="4"/>
    </row>
    <row r="18" customFormat="false" ht="15" hidden="false" customHeight="false" outlineLevel="0" collapsed="false">
      <c r="A18" s="4"/>
      <c r="B18" s="4"/>
    </row>
    <row r="19" customFormat="false" ht="15" hidden="false" customHeight="false" outlineLevel="0" collapsed="false">
      <c r="A19" s="4"/>
      <c r="B19" s="4"/>
    </row>
    <row r="20" customFormat="false" ht="15" hidden="false" customHeight="false" outlineLevel="0" collapsed="false">
      <c r="A20" s="4"/>
      <c r="B20" s="4"/>
    </row>
    <row r="21" customFormat="false" ht="15" hidden="false" customHeight="false" outlineLevel="0" collapsed="false">
      <c r="A21" s="4"/>
      <c r="B21" s="4"/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4"/>
      <c r="B23" s="4"/>
    </row>
    <row r="24" customFormat="false" ht="15" hidden="false" customHeight="false" outlineLevel="0" collapsed="false">
      <c r="A24" s="4"/>
      <c r="B24" s="4"/>
    </row>
    <row r="25" customFormat="false" ht="15" hidden="false" customHeight="false" outlineLevel="0" collapsed="false">
      <c r="A25" s="4"/>
      <c r="B25" s="4"/>
    </row>
    <row r="26" customFormat="false" ht="15" hidden="false" customHeight="false" outlineLevel="0" collapsed="false">
      <c r="A26" s="4"/>
      <c r="B26" s="4"/>
    </row>
    <row r="27" customFormat="false" ht="15" hidden="false" customHeight="false" outlineLevel="0" collapsed="false">
      <c r="A27" s="4"/>
      <c r="B27" s="4"/>
    </row>
    <row r="28" customFormat="false" ht="15" hidden="false" customHeight="false" outlineLevel="0" collapsed="false">
      <c r="A28" s="4"/>
      <c r="B28" s="4"/>
    </row>
    <row r="29" customFormat="false" ht="15" hidden="false" customHeight="false" outlineLevel="0" collapsed="false">
      <c r="A29" s="4"/>
      <c r="B29" s="4"/>
    </row>
    <row r="30" customFormat="false" ht="15" hidden="false" customHeight="false" outlineLevel="0" collapsed="false">
      <c r="A30" s="4"/>
      <c r="B30" s="4"/>
    </row>
    <row r="31" customFormat="false" ht="15" hidden="false" customHeight="false" outlineLevel="0" collapsed="false">
      <c r="A31" s="4"/>
      <c r="B31" s="4"/>
    </row>
    <row r="32" customFormat="false" ht="15" hidden="false" customHeight="false" outlineLevel="0" collapsed="false">
      <c r="A32" s="4"/>
      <c r="B32" s="4"/>
    </row>
    <row r="33" customFormat="false" ht="15" hidden="false" customHeight="false" outlineLevel="0" collapsed="false">
      <c r="A33" s="4"/>
      <c r="B33" s="4"/>
    </row>
    <row r="34" customFormat="false" ht="15" hidden="false" customHeight="false" outlineLevel="0" collapsed="false">
      <c r="A34" s="4"/>
      <c r="B34" s="4"/>
    </row>
    <row r="35" customFormat="false" ht="15" hidden="false" customHeight="false" outlineLevel="0" collapsed="false">
      <c r="A35" s="4"/>
      <c r="B35" s="4"/>
    </row>
    <row r="36" customFormat="false" ht="15" hidden="false" customHeight="false" outlineLevel="0" collapsed="false">
      <c r="A36" s="4"/>
      <c r="B36" s="4"/>
    </row>
    <row r="37" customFormat="false" ht="15" hidden="false" customHeight="false" outlineLevel="0" collapsed="false">
      <c r="A37" s="4"/>
      <c r="B37" s="4"/>
    </row>
    <row r="38" customFormat="false" ht="15" hidden="false" customHeight="false" outlineLevel="0" collapsed="false">
      <c r="A38" s="4"/>
      <c r="B38" s="4"/>
    </row>
    <row r="39" customFormat="false" ht="15" hidden="false" customHeight="false" outlineLevel="0" collapsed="false">
      <c r="A39" s="4"/>
      <c r="B39" s="4"/>
    </row>
    <row r="40" customFormat="false" ht="15" hidden="false" customHeight="false" outlineLevel="0" collapsed="false">
      <c r="A40" s="4"/>
      <c r="B40" s="4"/>
    </row>
    <row r="41" customFormat="false" ht="15" hidden="false" customHeight="false" outlineLevel="0" collapsed="false">
      <c r="A41" s="4"/>
      <c r="B41" s="4"/>
    </row>
    <row r="42" customFormat="false" ht="15" hidden="false" customHeight="false" outlineLevel="0" collapsed="false">
      <c r="A42" s="4"/>
      <c r="B42" s="4"/>
    </row>
    <row r="43" customFormat="false" ht="15" hidden="false" customHeight="false" outlineLevel="0" collapsed="false">
      <c r="A43" s="4"/>
      <c r="B43" s="4"/>
    </row>
    <row r="44" customFormat="false" ht="15" hidden="false" customHeight="false" outlineLevel="0" collapsed="false">
      <c r="A44" s="4"/>
      <c r="B44" s="4"/>
    </row>
    <row r="45" customFormat="false" ht="15" hidden="false" customHeight="false" outlineLevel="0" collapsed="false">
      <c r="A45" s="4"/>
      <c r="B45" s="4"/>
    </row>
    <row r="46" customFormat="false" ht="15" hidden="false" customHeight="false" outlineLevel="0" collapsed="false">
      <c r="A46" s="4"/>
      <c r="B46" s="4"/>
    </row>
    <row r="47" customFormat="false" ht="15" hidden="false" customHeight="false" outlineLevel="0" collapsed="false">
      <c r="A47" s="4"/>
      <c r="B47" s="4"/>
    </row>
    <row r="48" customFormat="false" ht="15" hidden="false" customHeight="false" outlineLevel="0" collapsed="false">
      <c r="A48" s="4"/>
      <c r="B48" s="4"/>
    </row>
    <row r="49" customFormat="false" ht="15" hidden="false" customHeight="false" outlineLevel="0" collapsed="false">
      <c r="A49" s="4"/>
      <c r="B49" s="4"/>
    </row>
    <row r="50" customFormat="false" ht="15" hidden="false" customHeight="false" outlineLevel="0" collapsed="false">
      <c r="A50" s="4"/>
      <c r="B50" s="4"/>
    </row>
    <row r="51" customFormat="false" ht="15" hidden="false" customHeight="false" outlineLevel="0" collapsed="false">
      <c r="A51" s="4"/>
      <c r="B51" s="4"/>
    </row>
    <row r="52" customFormat="false" ht="15" hidden="false" customHeight="false" outlineLevel="0" collapsed="false">
      <c r="A52" s="4"/>
      <c r="B52" s="4"/>
    </row>
    <row r="53" customFormat="false" ht="15" hidden="false" customHeight="false" outlineLevel="0" collapsed="false">
      <c r="A53" s="4"/>
      <c r="B53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F00"/>
    <pageSetUpPr fitToPage="false"/>
  </sheetPr>
  <dimension ref="B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27" t="s">
        <v>42</v>
      </c>
    </row>
    <row r="3" customFormat="false" ht="15" hidden="false" customHeight="false" outlineLevel="0" collapsed="false">
      <c r="B3" s="28" t="s">
        <v>43</v>
      </c>
    </row>
    <row r="5" customFormat="false" ht="15" hidden="false" customHeight="false" outlineLevel="0" collapsed="false">
      <c r="B5" s="29" t="s">
        <v>44</v>
      </c>
    </row>
    <row r="6" customFormat="false" ht="23.85" hidden="false" customHeight="false" outlineLevel="0" collapsed="false">
      <c r="B6" s="29" t="s">
        <v>45</v>
      </c>
    </row>
    <row r="7" customFormat="false" ht="15" hidden="false" customHeight="false" outlineLevel="0" collapsed="false">
      <c r="B7" s="29" t="s">
        <v>46</v>
      </c>
    </row>
    <row r="8" customFormat="false" ht="15" hidden="false" customHeight="false" outlineLevel="0" collapsed="false">
      <c r="B8" s="28" t="s">
        <v>47</v>
      </c>
    </row>
    <row r="9" customFormat="false" ht="15" hidden="false" customHeight="false" outlineLevel="0" collapsed="false">
      <c r="B9" s="29" t="s">
        <v>48</v>
      </c>
    </row>
    <row r="10" customFormat="false" ht="23.85" hidden="false" customHeight="false" outlineLevel="0" collapsed="false">
      <c r="B10" s="29" t="s">
        <v>49</v>
      </c>
    </row>
    <row r="11" customFormat="false" ht="15" hidden="false" customHeight="false" outlineLevel="0" collapsed="false">
      <c r="B11" s="29" t="s">
        <v>50</v>
      </c>
    </row>
    <row r="12" customFormat="false" ht="23.85" hidden="false" customHeight="false" outlineLevel="0" collapsed="false">
      <c r="B12" s="29" t="s">
        <v>51</v>
      </c>
    </row>
    <row r="13" customFormat="false" ht="15" hidden="false" customHeight="false" outlineLevel="0" collapsed="false">
      <c r="B13" s="29" t="s">
        <v>52</v>
      </c>
    </row>
    <row r="14" customFormat="false" ht="15" hidden="false" customHeight="false" outlineLevel="0" collapsed="false">
      <c r="B14" s="28" t="s">
        <v>53</v>
      </c>
    </row>
    <row r="15" customFormat="false" ht="15" hidden="false" customHeight="false" outlineLevel="0" collapsed="false">
      <c r="B15" s="29" t="s">
        <v>54</v>
      </c>
    </row>
    <row r="16" customFormat="false" ht="23.85" hidden="false" customHeight="false" outlineLevel="0" collapsed="false">
      <c r="B16" s="29" t="s">
        <v>55</v>
      </c>
    </row>
    <row r="17" customFormat="false" ht="15" hidden="false" customHeight="false" outlineLevel="0" collapsed="false">
      <c r="B17" s="28" t="s">
        <v>56</v>
      </c>
    </row>
    <row r="18" customFormat="false" ht="15" hidden="false" customHeight="false" outlineLevel="0" collapsed="false">
      <c r="B18" s="29" t="s">
        <v>57</v>
      </c>
    </row>
    <row r="19" customFormat="false" ht="23.85" hidden="false" customHeight="false" outlineLevel="0" collapsed="false">
      <c r="B19" s="29" t="s">
        <v>58</v>
      </c>
    </row>
    <row r="20" customFormat="false" ht="23.85" hidden="false" customHeight="false" outlineLevel="0" collapsed="false">
      <c r="B20" s="29" t="s">
        <v>59</v>
      </c>
    </row>
    <row r="21" customFormat="false" ht="15" hidden="false" customHeight="false" outlineLevel="0" collapsed="false">
      <c r="B21" s="29" t="s">
        <v>60</v>
      </c>
    </row>
    <row r="22" customFormat="false" ht="15" hidden="false" customHeight="false" outlineLevel="0" collapsed="false">
      <c r="B22" s="28" t="s">
        <v>61</v>
      </c>
    </row>
    <row r="23" customFormat="false" ht="15" hidden="false" customHeight="false" outlineLevel="0" collapsed="false">
      <c r="B23" s="30" t="s">
        <v>62</v>
      </c>
    </row>
    <row r="24" customFormat="false" ht="15" hidden="false" customHeight="false" outlineLevel="0" collapsed="false">
      <c r="B24" s="3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2026-09-30T00:06:34Z</dcterms:created>
  <dc:creator>openpyxl</dc:creator>
  <dc:description/>
  <dc:language>en-US</dc:language>
  <cp:lastModifiedBy/>
  <dcterms:modified xsi:type="dcterms:W3CDTF">2026-09-30T00:06:37Z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